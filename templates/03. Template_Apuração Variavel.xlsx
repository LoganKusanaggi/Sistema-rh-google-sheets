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o.rodrigues\Documents\Rodrigues\06. Projetos\bdSter\"/>
    </mc:Choice>
  </mc:AlternateContent>
  <xr:revisionPtr revIDLastSave="0" documentId="13_ncr:1_{932E27DF-44C6-4B5C-9261-CC9211103239}" xr6:coauthVersionLast="47" xr6:coauthVersionMax="47" xr10:uidLastSave="{00000000-0000-0000-0000-000000000000}"/>
  <bookViews>
    <workbookView xWindow="23880" yWindow="-120" windowWidth="20730" windowHeight="11160" firstSheet="1" activeTab="1" xr2:uid="{C7BF3455-0273-4FA4-B875-9A3CDF82F738}"/>
  </bookViews>
  <sheets>
    <sheet name="Apuração Inicial" sheetId="3" state="hidden" r:id="rId1"/>
    <sheet name="Apuração Junh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4" l="1"/>
  <c r="R6" i="4"/>
  <c r="N6" i="4"/>
  <c r="K6" i="4"/>
  <c r="G6" i="4"/>
  <c r="D6" i="4"/>
  <c r="U5" i="4"/>
  <c r="R5" i="4"/>
  <c r="N5" i="4"/>
  <c r="K5" i="4"/>
  <c r="G5" i="4"/>
  <c r="D5" i="4"/>
  <c r="U4" i="4"/>
  <c r="R4" i="4"/>
  <c r="N4" i="4"/>
  <c r="K4" i="4"/>
  <c r="G4" i="4"/>
  <c r="D4" i="4"/>
  <c r="Q58" i="3"/>
  <c r="P58" i="3"/>
  <c r="Q57" i="3"/>
  <c r="P57" i="3"/>
  <c r="Q56" i="3"/>
  <c r="P56" i="3"/>
  <c r="Q55" i="3"/>
  <c r="P55" i="3"/>
  <c r="Q50" i="3"/>
  <c r="P50" i="3"/>
  <c r="Q49" i="3"/>
  <c r="P49" i="3"/>
  <c r="Q48" i="3"/>
  <c r="P48" i="3"/>
  <c r="Q47" i="3"/>
  <c r="P47" i="3"/>
  <c r="J58" i="3"/>
  <c r="I58" i="3"/>
  <c r="J57" i="3"/>
  <c r="I57" i="3"/>
  <c r="J56" i="3"/>
  <c r="I56" i="3"/>
  <c r="J55" i="3"/>
  <c r="I55" i="3"/>
  <c r="J50" i="3"/>
  <c r="I50" i="3"/>
  <c r="J49" i="3"/>
  <c r="I49" i="3"/>
  <c r="J48" i="3"/>
  <c r="I48" i="3"/>
  <c r="J47" i="3"/>
  <c r="I47" i="3"/>
  <c r="C58" i="3"/>
  <c r="B58" i="3"/>
  <c r="C57" i="3"/>
  <c r="B57" i="3"/>
  <c r="C56" i="3"/>
  <c r="B56" i="3"/>
  <c r="C55" i="3"/>
  <c r="B55" i="3"/>
  <c r="C50" i="3"/>
  <c r="B50" i="3"/>
  <c r="C49" i="3"/>
  <c r="B49" i="3"/>
  <c r="C48" i="3"/>
  <c r="B48" i="3"/>
  <c r="C47" i="3"/>
  <c r="B47" i="3"/>
  <c r="Q46" i="3"/>
  <c r="P46" i="3"/>
  <c r="J46" i="3"/>
  <c r="I46" i="3"/>
  <c r="C46" i="3"/>
  <c r="B46" i="3"/>
  <c r="T39" i="3"/>
  <c r="S39" i="3"/>
  <c r="M39" i="3"/>
  <c r="L39" i="3"/>
  <c r="F39" i="3"/>
  <c r="E39" i="3"/>
  <c r="Q39" i="3"/>
  <c r="P39" i="3"/>
  <c r="J39" i="3"/>
  <c r="I39" i="3"/>
  <c r="C39" i="3"/>
  <c r="T35" i="3"/>
  <c r="S35" i="3"/>
  <c r="Q35" i="3"/>
  <c r="P35" i="3"/>
  <c r="M35" i="3"/>
  <c r="L35" i="3"/>
  <c r="J35" i="3"/>
  <c r="I35" i="3"/>
  <c r="F35" i="3"/>
  <c r="E35" i="3"/>
  <c r="C35" i="3"/>
  <c r="B39" i="3"/>
  <c r="B35" i="3"/>
  <c r="B29" i="3"/>
  <c r="B28" i="3"/>
  <c r="U23" i="3"/>
  <c r="U22" i="3"/>
  <c r="U21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R23" i="3"/>
  <c r="R22" i="3"/>
  <c r="R21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N23" i="3"/>
  <c r="N22" i="3"/>
  <c r="N21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K23" i="3"/>
  <c r="K22" i="3"/>
  <c r="K21" i="3"/>
  <c r="K20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G23" i="3"/>
  <c r="G22" i="3"/>
  <c r="G21" i="3"/>
  <c r="G20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D23" i="3"/>
  <c r="D21" i="3"/>
  <c r="D22" i="3"/>
  <c r="D7" i="3"/>
  <c r="D8" i="3"/>
  <c r="D9" i="3"/>
  <c r="D10" i="3"/>
  <c r="D11" i="3"/>
  <c r="D12" i="3"/>
  <c r="D13" i="3"/>
  <c r="D14" i="3"/>
  <c r="D15" i="3"/>
  <c r="D16" i="3"/>
  <c r="D17" i="3"/>
  <c r="D18" i="3"/>
  <c r="R35" i="3" l="1"/>
  <c r="K39" i="3"/>
  <c r="N35" i="3"/>
  <c r="G35" i="3"/>
  <c r="X6" i="4" a="1"/>
  <c r="X6" i="4" s="1"/>
  <c r="Y6" i="4" s="1"/>
  <c r="D39" i="3"/>
  <c r="U35" i="3"/>
  <c r="K35" i="3"/>
  <c r="D35" i="3"/>
  <c r="R39" i="3"/>
  <c r="X4" i="4" a="1"/>
  <c r="X4" i="4" s="1"/>
  <c r="Y4" i="4" s="1"/>
  <c r="X5" i="4" a="1"/>
  <c r="X5" i="4" s="1"/>
  <c r="Y5" i="4" s="1"/>
  <c r="T29" i="3"/>
  <c r="S29" i="3"/>
  <c r="Q29" i="3"/>
  <c r="P29" i="3"/>
  <c r="M29" i="3"/>
  <c r="L29" i="3"/>
  <c r="J29" i="3"/>
  <c r="I29" i="3"/>
  <c r="F29" i="3"/>
  <c r="E29" i="3"/>
  <c r="C29" i="3"/>
  <c r="T28" i="3"/>
  <c r="S28" i="3"/>
  <c r="Q28" i="3"/>
  <c r="P28" i="3"/>
  <c r="M28" i="3"/>
  <c r="L28" i="3"/>
  <c r="J28" i="3"/>
  <c r="I28" i="3"/>
  <c r="F28" i="3"/>
  <c r="E28" i="3"/>
  <c r="C28" i="3"/>
  <c r="D28" i="3" s="1"/>
  <c r="U20" i="3"/>
  <c r="R20" i="3"/>
  <c r="N20" i="3"/>
  <c r="D5" i="3"/>
  <c r="D19" i="3" s="1"/>
  <c r="D6" i="3"/>
  <c r="X17" i="3" a="1"/>
  <c r="X17" i="3" s="1"/>
  <c r="D20" i="3"/>
  <c r="AB6" i="4" l="1"/>
  <c r="AB4" i="4"/>
  <c r="AB5" i="4"/>
  <c r="X20" i="3" a="1"/>
  <c r="X20" i="3" s="1"/>
  <c r="X21" i="3" a="1"/>
  <c r="X21" i="3" s="1"/>
  <c r="X22" i="3" a="1"/>
  <c r="X22" i="3" s="1"/>
  <c r="X18" i="3" a="1"/>
  <c r="X18" i="3" s="1"/>
  <c r="K57" i="3" l="1"/>
  <c r="R57" i="3"/>
  <c r="D57" i="3" l="1"/>
  <c r="X57" i="3" s="1" a="1"/>
  <c r="X57" i="3" s="1"/>
  <c r="Y57" i="3" l="1"/>
  <c r="K28" i="3"/>
  <c r="G28" i="3" l="1"/>
  <c r="K29" i="3"/>
  <c r="G29" i="3"/>
  <c r="N29" i="3"/>
  <c r="D29" i="3"/>
  <c r="R28" i="3"/>
  <c r="U29" i="3"/>
  <c r="U28" i="3"/>
  <c r="R29" i="3"/>
  <c r="N28" i="3"/>
  <c r="X29" i="3" l="1" a="1"/>
  <c r="X29" i="3" s="1"/>
  <c r="Y29" i="3" l="1"/>
  <c r="X14" i="3" a="1"/>
  <c r="X14" i="3" s="1"/>
  <c r="N19" i="3"/>
  <c r="K19" i="3"/>
  <c r="X10" i="3" a="1"/>
  <c r="X10" i="3" s="1"/>
  <c r="Y10" i="3" l="1"/>
  <c r="X11" i="3" a="1"/>
  <c r="X11" i="3" s="1"/>
  <c r="X9" i="3" a="1"/>
  <c r="X9" i="3" s="1"/>
  <c r="X8" i="3" a="1"/>
  <c r="X8" i="3" s="1"/>
  <c r="U19" i="3"/>
  <c r="R19" i="3"/>
  <c r="X19" i="3" s="1" a="1"/>
  <c r="X19" i="3" s="1"/>
  <c r="X12" i="3" a="1"/>
  <c r="X12" i="3" s="1"/>
  <c r="X13" i="3" a="1"/>
  <c r="X13" i="3" s="1"/>
  <c r="X15" i="3" a="1"/>
  <c r="X15" i="3" s="1"/>
  <c r="Y9" i="3" l="1"/>
  <c r="D49" i="3"/>
  <c r="R49" i="3"/>
  <c r="K49" i="3"/>
  <c r="X49" i="3" l="1" a="1"/>
  <c r="X49" i="3" s="1"/>
  <c r="Y49" i="3" l="1"/>
  <c r="R56" i="3" l="1"/>
  <c r="K56" i="3"/>
  <c r="D56" i="3"/>
  <c r="R50" i="3"/>
  <c r="K50" i="3"/>
  <c r="D50" i="3"/>
  <c r="D4" i="3"/>
  <c r="X41" i="3" l="1" a="1"/>
  <c r="X41" i="3" s="1"/>
  <c r="X50" i="3" a="1"/>
  <c r="X50" i="3" s="1"/>
  <c r="X56" i="3" a="1"/>
  <c r="X56" i="3" s="1"/>
  <c r="Y41" i="3" l="1"/>
  <c r="X37" i="3" a="1"/>
  <c r="X37" i="3" s="1"/>
  <c r="Y50" i="3"/>
  <c r="Y56" i="3"/>
  <c r="Y37" i="3" l="1"/>
  <c r="U4" i="3"/>
  <c r="R4" i="3"/>
  <c r="N4" i="3"/>
  <c r="K4" i="3"/>
  <c r="G4" i="3"/>
  <c r="X4" i="3" l="1" a="1"/>
  <c r="X4" i="3" s="1"/>
  <c r="AA4" i="4" s="1"/>
  <c r="AC4" i="4" s="1"/>
  <c r="R58" i="3"/>
  <c r="K58" i="3"/>
  <c r="D58" i="3"/>
  <c r="R55" i="3"/>
  <c r="K55" i="3"/>
  <c r="D55" i="3"/>
  <c r="Y4" i="3" l="1"/>
  <c r="X55" i="3" a="1"/>
  <c r="X55" i="3" s="1"/>
  <c r="X58" i="3" a="1"/>
  <c r="X58" i="3" s="1"/>
  <c r="Y55" i="3" l="1"/>
  <c r="Y58" i="3"/>
  <c r="Y11" i="3" l="1"/>
  <c r="R48" i="3" l="1"/>
  <c r="R47" i="3"/>
  <c r="R46" i="3" l="1"/>
  <c r="K48" i="3" l="1"/>
  <c r="D48" i="3"/>
  <c r="K47" i="3"/>
  <c r="D47" i="3"/>
  <c r="K46" i="3"/>
  <c r="D46" i="3"/>
  <c r="X47" i="3" l="1" a="1"/>
  <c r="X47" i="3" s="1"/>
  <c r="X46" i="3" a="1"/>
  <c r="X46" i="3" s="1"/>
  <c r="X48" i="3" a="1"/>
  <c r="X48" i="3" s="1"/>
  <c r="X7" i="3" a="1"/>
  <c r="X7" i="3" s="1"/>
  <c r="G19" i="3"/>
  <c r="X23" i="3" l="1" a="1"/>
  <c r="X23" i="3" s="1"/>
  <c r="X16" i="3" a="1"/>
  <c r="X16" i="3" s="1"/>
  <c r="X6" i="3" a="1"/>
  <c r="X6" i="3" s="1"/>
  <c r="AA6" i="4" s="1"/>
  <c r="AC6" i="4" s="1"/>
  <c r="Y47" i="3"/>
  <c r="Y19" i="3"/>
  <c r="X5" i="3" a="1"/>
  <c r="X5" i="3" s="1"/>
  <c r="AA5" i="4" s="1"/>
  <c r="AC5" i="4" s="1"/>
  <c r="Y48" i="3"/>
  <c r="X28" i="3" a="1"/>
  <c r="X28" i="3" s="1"/>
  <c r="Y46" i="3"/>
  <c r="Y13" i="3"/>
  <c r="Y23" i="3" l="1"/>
  <c r="Y17" i="3"/>
  <c r="Y20" i="3"/>
  <c r="Y18" i="3"/>
  <c r="Y28" i="3"/>
  <c r="Y21" i="3"/>
  <c r="Y16" i="3"/>
  <c r="Y5" i="3"/>
  <c r="Y7" i="3"/>
  <c r="Y6" i="3"/>
  <c r="Y15" i="3"/>
  <c r="Y14" i="3"/>
  <c r="Y8" i="3"/>
  <c r="Y12" i="3"/>
  <c r="Y2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<sst xmlns="http://schemas.openxmlformats.org/spreadsheetml/2006/main" count="214" uniqueCount="54">
  <si>
    <t>Vendedor</t>
  </si>
  <si>
    <t>Salário</t>
  </si>
  <si>
    <t>Caroline Silva</t>
  </si>
  <si>
    <t>Ivan Bachiegga</t>
  </si>
  <si>
    <t>Larissa Bastos</t>
  </si>
  <si>
    <t>Antonio Martins</t>
  </si>
  <si>
    <t>Renata Magalhães</t>
  </si>
  <si>
    <t>Coordenador</t>
  </si>
  <si>
    <t>Luana Tourinho</t>
  </si>
  <si>
    <t>Mateus Dias</t>
  </si>
  <si>
    <t>Jonas Borges</t>
  </si>
  <si>
    <t>Bruno Andrade</t>
  </si>
  <si>
    <t>Meta</t>
  </si>
  <si>
    <t>Realizado</t>
  </si>
  <si>
    <t>%</t>
  </si>
  <si>
    <t>Faturamento</t>
  </si>
  <si>
    <t>Positivação</t>
  </si>
  <si>
    <t>Caffeine</t>
  </si>
  <si>
    <t>Sublyme</t>
  </si>
  <si>
    <t>Koala</t>
  </si>
  <si>
    <t>Multiplicador</t>
  </si>
  <si>
    <t>Variável</t>
  </si>
  <si>
    <t>Antes</t>
  </si>
  <si>
    <t>Depois</t>
  </si>
  <si>
    <t>Trade</t>
  </si>
  <si>
    <t>Fernando Takahashi</t>
  </si>
  <si>
    <t>Marcelo Martins</t>
  </si>
  <si>
    <t>Gustavo Silva</t>
  </si>
  <si>
    <t>Inteligência Com.</t>
  </si>
  <si>
    <t>Lucila Sá</t>
  </si>
  <si>
    <t>Allan Costa</t>
  </si>
  <si>
    <t>Amanda Fiaes</t>
  </si>
  <si>
    <t>Tamires Moreira</t>
  </si>
  <si>
    <t>Rafael Macena</t>
  </si>
  <si>
    <t>Leticia Kuae</t>
  </si>
  <si>
    <t>Breno Gargur</t>
  </si>
  <si>
    <t>Debora Boaventura</t>
  </si>
  <si>
    <t>Felipe Caldas</t>
  </si>
  <si>
    <t>Gabriel Muller</t>
  </si>
  <si>
    <t>Gerente</t>
  </si>
  <si>
    <t>Lucas Bittencourt</t>
  </si>
  <si>
    <t>Julia Lira</t>
  </si>
  <si>
    <t>Lucca Cirne</t>
  </si>
  <si>
    <t>Guilherme d'Almeida</t>
  </si>
  <si>
    <t>Bianca Meireles</t>
  </si>
  <si>
    <t>Lucas Giamellaro</t>
  </si>
  <si>
    <t>Saulo Souza</t>
  </si>
  <si>
    <t>Luana Cysneiros</t>
  </si>
  <si>
    <t>Ana Carolina Nunes</t>
  </si>
  <si>
    <t>Matheus dos Santos</t>
  </si>
  <si>
    <t>Vitor Mello</t>
  </si>
  <si>
    <t>Julho</t>
  </si>
  <si>
    <t>Agosto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</si>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</sst>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58B68"/>
        <bgColor indexed="64"/>
      </patternFill>
    </fill>
    <fill>
      <patternFill patternType="solid">
        <fgColor rgb="FFFF3B95"/>
        <bgColor indexed="64"/>
      </patternFill>
    </fill>
    <fill>
      <patternFill patternType="solid">
        <fgColor rgb="FF9594D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2" fillId="4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9" fontId="0" fillId="0" borderId="7" xfId="2" applyFont="1" applyBorder="1" applyAlignment="1">
      <alignment horizontal="center"/>
    </xf>
    <xf numFmtId="9" fontId="0" fillId="0" borderId="8" xfId="2" applyFont="1" applyBorder="1" applyAlignment="1">
      <alignment horizontal="center"/>
    </xf>
    <xf numFmtId="7" fontId="0" fillId="0" borderId="4" xfId="0" applyNumberFormat="1" applyBorder="1" applyAlignment="1">
      <alignment horizontal="center"/>
    </xf>
    <xf numFmtId="7" fontId="0" fillId="0" borderId="0" xfId="0" applyNumberFormat="1" applyAlignment="1">
      <alignment horizontal="center"/>
    </xf>
    <xf numFmtId="7" fontId="0" fillId="0" borderId="6" xfId="0" applyNumberFormat="1" applyBorder="1" applyAlignment="1">
      <alignment horizontal="center"/>
    </xf>
    <xf numFmtId="7" fontId="0" fillId="0" borderId="7" xfId="0" applyNumberFormat="1" applyBorder="1" applyAlignment="1">
      <alignment horizontal="center"/>
    </xf>
    <xf numFmtId="0" fontId="2" fillId="2" borderId="0" xfId="0" applyFont="1" applyFill="1"/>
    <xf numFmtId="0" fontId="2" fillId="8" borderId="0" xfId="0" applyFont="1" applyFill="1"/>
    <xf numFmtId="9" fontId="0" fillId="0" borderId="0" xfId="2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10" fontId="0" fillId="0" borderId="7" xfId="2" applyNumberFormat="1" applyFont="1" applyBorder="1" applyAlignment="1">
      <alignment horizontal="center"/>
    </xf>
    <xf numFmtId="44" fontId="0" fillId="2" borderId="4" xfId="1" applyFont="1" applyFill="1" applyBorder="1" applyAlignment="1">
      <alignment horizontal="center"/>
    </xf>
    <xf numFmtId="44" fontId="0" fillId="2" borderId="6" xfId="1" applyFont="1" applyFill="1" applyBorder="1" applyAlignment="1">
      <alignment horizontal="center"/>
    </xf>
    <xf numFmtId="44" fontId="0" fillId="3" borderId="5" xfId="1" applyFont="1" applyFill="1" applyBorder="1" applyAlignment="1">
      <alignment horizontal="center"/>
    </xf>
    <xf numFmtId="44" fontId="0" fillId="3" borderId="8" xfId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7" xfId="0" applyNumberFormat="1" applyBorder="1" applyAlignment="1">
      <alignment horizontal="center"/>
    </xf>
    <xf numFmtId="9" fontId="0" fillId="0" borderId="0" xfId="2" applyFont="1" applyFill="1" applyBorder="1" applyAlignment="1" applyProtection="1">
      <alignment horizontal="center"/>
    </xf>
    <xf numFmtId="44" fontId="0" fillId="2" borderId="4" xfId="1" applyFont="1" applyFill="1" applyBorder="1" applyAlignment="1" applyProtection="1">
      <alignment horizontal="center"/>
    </xf>
    <xf numFmtId="10" fontId="0" fillId="0" borderId="4" xfId="0" applyNumberFormat="1" applyBorder="1"/>
    <xf numFmtId="10" fontId="0" fillId="0" borderId="0" xfId="0" applyNumberFormat="1"/>
    <xf numFmtId="10" fontId="0" fillId="0" borderId="5" xfId="0" applyNumberFormat="1" applyBorder="1"/>
    <xf numFmtId="44" fontId="0" fillId="0" borderId="0" xfId="0" applyNumberFormat="1"/>
    <xf numFmtId="9" fontId="0" fillId="0" borderId="0" xfId="0" applyNumberFormat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9" fontId="0" fillId="0" borderId="0" xfId="0" applyNumberFormat="1"/>
    <xf numFmtId="3" fontId="0" fillId="0" borderId="0" xfId="0" applyNumberFormat="1" applyAlignment="1">
      <alignment horizontal="center"/>
    </xf>
    <xf numFmtId="7" fontId="2" fillId="2" borderId="4" xfId="0" applyNumberFormat="1" applyFont="1" applyFill="1" applyBorder="1" applyAlignment="1">
      <alignment horizontal="center"/>
    </xf>
    <xf numFmtId="7" fontId="2" fillId="2" borderId="0" xfId="0" applyNumberFormat="1" applyFont="1" applyFill="1" applyAlignment="1">
      <alignment horizontal="center"/>
    </xf>
    <xf numFmtId="9" fontId="2" fillId="2" borderId="0" xfId="2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9" fontId="2" fillId="2" borderId="5" xfId="2" applyFont="1" applyFill="1" applyBorder="1" applyAlignment="1">
      <alignment horizontal="center"/>
    </xf>
    <xf numFmtId="7" fontId="2" fillId="2" borderId="6" xfId="0" applyNumberFormat="1" applyFont="1" applyFill="1" applyBorder="1" applyAlignment="1">
      <alignment horizontal="center"/>
    </xf>
    <xf numFmtId="7" fontId="2" fillId="2" borderId="7" xfId="0" applyNumberFormat="1" applyFont="1" applyFill="1" applyBorder="1" applyAlignment="1">
      <alignment horizontal="center"/>
    </xf>
    <xf numFmtId="9" fontId="2" fillId="2" borderId="7" xfId="2" applyFon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center"/>
    </xf>
    <xf numFmtId="9" fontId="2" fillId="2" borderId="8" xfId="2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4" xfId="1" applyFont="1" applyFill="1" applyBorder="1" applyAlignment="1">
      <alignment horizontal="center"/>
    </xf>
    <xf numFmtId="9" fontId="1" fillId="0" borderId="0" xfId="2" applyFont="1" applyFill="1" applyBorder="1" applyAlignment="1">
      <alignment horizontal="center"/>
    </xf>
    <xf numFmtId="44" fontId="1" fillId="0" borderId="4" xfId="1" applyFont="1" applyFill="1" applyBorder="1" applyAlignment="1">
      <alignment horizontal="center"/>
    </xf>
    <xf numFmtId="44" fontId="1" fillId="0" borderId="0" xfId="1" applyFont="1" applyFill="1" applyBorder="1" applyAlignment="1">
      <alignment horizontal="center"/>
    </xf>
    <xf numFmtId="9" fontId="0" fillId="0" borderId="5" xfId="2" applyFont="1" applyFill="1" applyBorder="1" applyAlignment="1">
      <alignment horizontal="center"/>
    </xf>
    <xf numFmtId="7" fontId="1" fillId="0" borderId="4" xfId="1" applyNumberFormat="1" applyFont="1" applyFill="1" applyBorder="1" applyAlignment="1">
      <alignment horizontal="center"/>
    </xf>
    <xf numFmtId="7" fontId="0" fillId="0" borderId="4" xfId="1" applyNumberFormat="1" applyFont="1" applyFill="1" applyBorder="1" applyAlignment="1">
      <alignment horizontal="center"/>
    </xf>
    <xf numFmtId="44" fontId="2" fillId="2" borderId="4" xfId="0" applyNumberFormat="1" applyFont="1" applyFill="1" applyBorder="1" applyAlignment="1">
      <alignment horizontal="center"/>
    </xf>
    <xf numFmtId="7" fontId="0" fillId="3" borderId="4" xfId="0" applyNumberFormat="1" applyFill="1" applyBorder="1" applyAlignment="1">
      <alignment horizontal="center"/>
    </xf>
    <xf numFmtId="7" fontId="0" fillId="3" borderId="0" xfId="0" applyNumberFormat="1" applyFill="1" applyAlignment="1">
      <alignment horizontal="center"/>
    </xf>
    <xf numFmtId="9" fontId="0" fillId="3" borderId="0" xfId="2" applyFon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9" fontId="0" fillId="3" borderId="5" xfId="2" applyFont="1" applyFill="1" applyBorder="1" applyAlignment="1">
      <alignment horizontal="center"/>
    </xf>
    <xf numFmtId="9" fontId="0" fillId="0" borderId="7" xfId="2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9" fontId="0" fillId="0" borderId="8" xfId="2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9594D2"/>
      <color rgb="FFFF3B95"/>
      <color rgb="FFC58B68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A48E-88A3-4EDD-AF4A-2B95C15FE0A8}">
  <dimension ref="A1:AH58"/>
  <sheetViews>
    <sheetView showGridLines="0" topLeftCell="A18" zoomScale="83" zoomScaleNormal="100" workbookViewId="0">
      <selection sqref="A1:Y58"/>
    </sheetView>
  </sheetViews>
  <sheetFormatPr defaultRowHeight="15" x14ac:dyDescent="0.25"/>
  <cols>
    <col min="1" max="1" width="19.42578125" bestFit="1" customWidth="1"/>
    <col min="2" max="3" width="17.140625" style="1" customWidth="1"/>
    <col min="4" max="7" width="9.140625" style="1" customWidth="1"/>
    <col min="8" max="8" width="1.42578125" style="1" customWidth="1"/>
    <col min="9" max="10" width="16.140625" style="1" customWidth="1"/>
    <col min="11" max="14" width="9.140625" style="1" customWidth="1"/>
    <col min="15" max="15" width="1.42578125" style="1" customWidth="1"/>
    <col min="16" max="16" width="15.85546875" style="1" customWidth="1"/>
    <col min="17" max="17" width="15.42578125" style="1" customWidth="1"/>
    <col min="18" max="21" width="9.140625" style="1" customWidth="1"/>
    <col min="22" max="22" width="1.42578125" customWidth="1"/>
    <col min="23" max="23" width="12.140625" style="1" bestFit="1" customWidth="1"/>
    <col min="24" max="24" width="12.85546875" style="1" bestFit="1" customWidth="1"/>
    <col min="25" max="25" width="13.42578125" style="1" bestFit="1" customWidth="1"/>
    <col min="26" max="26" width="1.42578125" customWidth="1"/>
  </cols>
  <sheetData>
    <row r="1" spans="1:34" s="3" customFormat="1" x14ac:dyDescent="0.25">
      <c r="A1" s="2"/>
      <c r="B1" s="72" t="s">
        <v>17</v>
      </c>
      <c r="C1" s="73"/>
      <c r="D1" s="73"/>
      <c r="E1" s="73"/>
      <c r="F1" s="73"/>
      <c r="G1" s="74"/>
      <c r="H1" s="4"/>
      <c r="I1" s="75" t="s">
        <v>18</v>
      </c>
      <c r="J1" s="76"/>
      <c r="K1" s="76"/>
      <c r="L1" s="76"/>
      <c r="M1" s="76"/>
      <c r="N1" s="77"/>
      <c r="O1" s="4"/>
      <c r="P1" s="78" t="s">
        <v>19</v>
      </c>
      <c r="Q1" s="79"/>
      <c r="R1" s="79"/>
      <c r="S1" s="79"/>
      <c r="T1" s="79"/>
      <c r="U1" s="80"/>
      <c r="W1" s="81" t="s">
        <v>21</v>
      </c>
      <c r="X1" s="82"/>
      <c r="Y1" s="83"/>
    </row>
    <row r="2" spans="1:34" s="3" customFormat="1" x14ac:dyDescent="0.25">
      <c r="A2" s="20"/>
      <c r="B2" s="84" t="s">
        <v>15</v>
      </c>
      <c r="C2" s="85"/>
      <c r="D2" s="85"/>
      <c r="E2" s="85" t="s">
        <v>16</v>
      </c>
      <c r="F2" s="85"/>
      <c r="G2" s="86"/>
      <c r="H2" s="4"/>
      <c r="I2" s="84" t="s">
        <v>15</v>
      </c>
      <c r="J2" s="85"/>
      <c r="K2" s="85"/>
      <c r="L2" s="85" t="s">
        <v>16</v>
      </c>
      <c r="M2" s="85"/>
      <c r="N2" s="86"/>
      <c r="O2" s="4"/>
      <c r="P2" s="84" t="s">
        <v>15</v>
      </c>
      <c r="Q2" s="85"/>
      <c r="R2" s="85"/>
      <c r="S2" s="85" t="s">
        <v>16</v>
      </c>
      <c r="T2" s="85"/>
      <c r="U2" s="86"/>
      <c r="W2" s="5"/>
      <c r="X2" s="6"/>
      <c r="Y2" s="7"/>
    </row>
    <row r="3" spans="1:34" s="3" customFormat="1" x14ac:dyDescent="0.25">
      <c r="A3" s="19" t="s">
        <v>0</v>
      </c>
      <c r="B3" s="8" t="s">
        <v>12</v>
      </c>
      <c r="C3" s="9" t="s">
        <v>13</v>
      </c>
      <c r="D3" s="9" t="s">
        <v>14</v>
      </c>
      <c r="E3" s="9" t="s">
        <v>12</v>
      </c>
      <c r="F3" s="9" t="s">
        <v>13</v>
      </c>
      <c r="G3" s="10" t="s">
        <v>14</v>
      </c>
      <c r="H3" s="4"/>
      <c r="I3" s="8" t="s">
        <v>12</v>
      </c>
      <c r="J3" s="9" t="s">
        <v>13</v>
      </c>
      <c r="K3" s="9" t="s">
        <v>14</v>
      </c>
      <c r="L3" s="9" t="s">
        <v>12</v>
      </c>
      <c r="M3" s="9" t="s">
        <v>13</v>
      </c>
      <c r="N3" s="10" t="s">
        <v>14</v>
      </c>
      <c r="O3" s="4"/>
      <c r="P3" s="8" t="s">
        <v>12</v>
      </c>
      <c r="Q3" s="9" t="s">
        <v>13</v>
      </c>
      <c r="R3" s="9" t="s">
        <v>14</v>
      </c>
      <c r="S3" s="9" t="s">
        <v>12</v>
      </c>
      <c r="T3" s="9" t="s">
        <v>13</v>
      </c>
      <c r="U3" s="10" t="s">
        <v>14</v>
      </c>
      <c r="W3" s="8" t="s">
        <v>1</v>
      </c>
      <c r="X3" s="9" t="s">
        <v>20</v>
      </c>
      <c r="Y3" s="10" t="s">
        <v>21</v>
      </c>
    </row>
    <row r="4" spans="1:34" x14ac:dyDescent="0.25">
      <c r="A4" t="s">
        <v>31</v>
      </c>
      <c r="B4" s="15">
        <v>772157.51</v>
      </c>
      <c r="C4" s="16">
        <v>558347.59562099958</v>
      </c>
      <c r="D4" s="11">
        <f>IFERROR(C4/B4,0)</f>
        <v>0.72310064771758753</v>
      </c>
      <c r="E4" s="42">
        <v>127</v>
      </c>
      <c r="F4" s="42">
        <v>107</v>
      </c>
      <c r="G4" s="12">
        <f t="shared" ref="G4:G23" si="0">IFERROR(F4/E4,0)</f>
        <v>0.84251968503937003</v>
      </c>
      <c r="H4" s="21"/>
      <c r="I4" s="15">
        <v>100504.89</v>
      </c>
      <c r="J4" s="16">
        <v>50668.116156000047</v>
      </c>
      <c r="K4" s="11">
        <f t="shared" ref="K4:K23" si="1">IFERROR(J4/I4,0)</f>
        <v>0.50413583016706998</v>
      </c>
      <c r="L4" s="42">
        <v>82</v>
      </c>
      <c r="M4" s="42">
        <v>50</v>
      </c>
      <c r="N4" s="12">
        <f t="shared" ref="N4:N23" si="2">IFERROR(M4/L4,0)</f>
        <v>0.6097560975609756</v>
      </c>
      <c r="O4" s="21"/>
      <c r="P4" s="15">
        <v>54618.84</v>
      </c>
      <c r="Q4" s="16">
        <v>32062.285434000103</v>
      </c>
      <c r="R4" s="11">
        <f t="shared" ref="R4:R23" si="3">IFERROR(Q4/P4,0)</f>
        <v>0.58701879120831024</v>
      </c>
      <c r="S4" s="1">
        <v>66</v>
      </c>
      <c r="T4" s="1">
        <v>44</v>
      </c>
      <c r="U4" s="12">
        <f t="shared" ref="U4:U23" si="4">IFERROR(T4/S4,0)</f>
        <v>0.66666666666666663</v>
      </c>
      <c r="W4" s="26"/>
      <c r="X4" s="23" cm="1">
        <f t="array" ref="X4">(_xlfn.IFS(D4&lt;70%,0,AND(D4&gt;=70%,D4&lt;=120%),D4*30%,D4&gt;120%,120%*30%))+(_xlfn.IFS(G4&lt;70%,0,AND(G4&gt;=70%,G4&lt;=120%),G4*30%,G4&gt;120%,120%*30%))+(_xlfn.IFS(K4&lt;70%,0,AND(K4&gt;=70%,K4&lt;=120%),K4*7.5%,K4&gt;120%,120%*7.5%))+(_xlfn.IFS(N4&lt;70%,0,AND(N4&gt;=70%,N4&lt;=120%),N4*7.5%,N4&gt;120%,120%*7.5%))+(_xlfn.IFS(R4&lt;70%,0,AND(R4&gt;=70%,R4&lt;=120%),R4*12.5%,R4&gt;120%,120%*12.5%))+(_xlfn.IFS(U4&lt;70%,0,AND(U4&gt;=70%,U4&lt;=120%),U4*12.5%,U4&gt;120%,120%*12.5%))</f>
        <v>0.4696860998270872</v>
      </c>
      <c r="Y4" s="28">
        <f t="shared" ref="Y4" si="5">X4*(W4/2)</f>
        <v>0</v>
      </c>
    </row>
    <row r="5" spans="1:34" x14ac:dyDescent="0.25">
      <c r="A5" t="s">
        <v>5</v>
      </c>
      <c r="B5" s="15">
        <v>1615428.48596</v>
      </c>
      <c r="C5" s="16">
        <v>1928811.0849339999</v>
      </c>
      <c r="D5" s="11">
        <f t="shared" ref="D5:D23" si="6">IFERROR(C5/B5,0)</f>
        <v>1.1939934832755943</v>
      </c>
      <c r="E5" s="42">
        <v>0</v>
      </c>
      <c r="F5" s="42">
        <v>58</v>
      </c>
      <c r="G5" s="12">
        <f t="shared" si="0"/>
        <v>0</v>
      </c>
      <c r="H5" s="21"/>
      <c r="I5" s="15">
        <v>78421.625599999999</v>
      </c>
      <c r="J5" s="16">
        <v>38342.520000000004</v>
      </c>
      <c r="K5" s="11">
        <f t="shared" si="1"/>
        <v>0.48892789082913379</v>
      </c>
      <c r="L5" s="42">
        <v>0</v>
      </c>
      <c r="M5" s="42">
        <v>16</v>
      </c>
      <c r="N5" s="12">
        <f t="shared" si="2"/>
        <v>0</v>
      </c>
      <c r="O5" s="21"/>
      <c r="P5" s="15">
        <v>78094.501508999994</v>
      </c>
      <c r="Q5" s="16">
        <v>125360.92105399999</v>
      </c>
      <c r="R5" s="11">
        <f t="shared" si="3"/>
        <v>1.6052464466983349</v>
      </c>
      <c r="S5" s="1">
        <v>0</v>
      </c>
      <c r="T5" s="1">
        <v>24</v>
      </c>
      <c r="U5" s="12">
        <f t="shared" si="4"/>
        <v>0</v>
      </c>
      <c r="W5" s="26"/>
      <c r="X5" s="23" cm="1">
        <f t="array" ref="X5">(_xlfn.IFS(D5&lt;70%,0,AND(D5&gt;=70%,D5&lt;=120%),D5*60%,D5&gt;120%,120%*60%))+(_xlfn.IFS(K5&lt;70%,0,AND(K5&gt;=70%,K5&lt;=120%),K5*15%,K5&gt;120%,120%*15%))+(_xlfn.IFS(R5&lt;70%,0,AND(R5&gt;=70%,R5&lt;=120%),R5*25%,R5&gt;120%,120%*25%))</f>
        <v>1.0163960899653566</v>
      </c>
      <c r="Y5" s="28">
        <f>X5*(W5/2)</f>
        <v>0</v>
      </c>
    </row>
    <row r="6" spans="1:34" x14ac:dyDescent="0.25">
      <c r="A6" t="s">
        <v>11</v>
      </c>
      <c r="B6" s="15">
        <v>948485.9</v>
      </c>
      <c r="C6" s="16">
        <v>950202.38404200017</v>
      </c>
      <c r="D6" s="11">
        <f t="shared" si="6"/>
        <v>1.001809709603485</v>
      </c>
      <c r="E6" s="42">
        <v>136</v>
      </c>
      <c r="F6" s="42">
        <v>140</v>
      </c>
      <c r="G6" s="12">
        <f t="shared" si="0"/>
        <v>1.0294117647058822</v>
      </c>
      <c r="H6" s="21"/>
      <c r="I6" s="15">
        <v>135107.5</v>
      </c>
      <c r="J6" s="16">
        <v>99074.621279999992</v>
      </c>
      <c r="K6" s="11">
        <f t="shared" si="1"/>
        <v>0.73330215776326257</v>
      </c>
      <c r="L6" s="42">
        <v>87</v>
      </c>
      <c r="M6" s="42">
        <v>120</v>
      </c>
      <c r="N6" s="12">
        <f t="shared" si="2"/>
        <v>1.3793103448275863</v>
      </c>
      <c r="O6" s="21"/>
      <c r="P6" s="15">
        <v>59444.37</v>
      </c>
      <c r="Q6" s="16">
        <v>77965.305654999931</v>
      </c>
      <c r="R6" s="11">
        <f t="shared" si="3"/>
        <v>1.3115675320471885</v>
      </c>
      <c r="S6" s="1">
        <v>71</v>
      </c>
      <c r="T6" s="1">
        <v>118</v>
      </c>
      <c r="U6" s="12">
        <f t="shared" si="4"/>
        <v>1.6619718309859155</v>
      </c>
      <c r="W6" s="26"/>
      <c r="X6" s="23" cm="1">
        <f t="array" ref="X6">(_xlfn.IFS(D6&lt;70%,0,AND(D6&gt;=70%,D6&lt;=120%),D6*30%,D6&gt;120%,120%*30%))+(_xlfn.IFS(G6&lt;70%,0,AND(G6&gt;=70%,G6&lt;=120%),G6*30%,G6&gt;120%,120%*30%))+(_xlfn.IFS(K6&lt;70%,0,AND(K6&gt;=70%,K6&lt;=120%),K6*7.5%,K6&gt;120%,120%*7.5%))+(_xlfn.IFS(N6&lt;70%,0,AND(N6&gt;=70%,N6&lt;=120%),N6*7.5%,N6&gt;120%,120%*7.5%))+(_xlfn.IFS(R6&lt;70%,0,AND(R6&gt;=70%,R6&lt;=120%),R6*12.5%,R6&gt;120%,120%*12.5%))+(_xlfn.IFS(U6&lt;70%,0,AND(U6&gt;=70%,U6&lt;=120%),U6*12.5%,U6&gt;120%,120%*12.5%))</f>
        <v>1.0543641041250549</v>
      </c>
      <c r="Y6" s="28">
        <f t="shared" ref="Y6:Y22" si="7">X6*(W6/2)</f>
        <v>0</v>
      </c>
    </row>
    <row r="7" spans="1:34" x14ac:dyDescent="0.25">
      <c r="A7" t="s">
        <v>2</v>
      </c>
      <c r="B7" s="15">
        <v>653564.16000000003</v>
      </c>
      <c r="C7" s="16">
        <v>545976.88760699949</v>
      </c>
      <c r="D7" s="11">
        <f t="shared" si="6"/>
        <v>0.83538376340434495</v>
      </c>
      <c r="E7" s="42">
        <v>88</v>
      </c>
      <c r="F7" s="42">
        <v>68</v>
      </c>
      <c r="G7" s="12">
        <f t="shared" si="0"/>
        <v>0.77272727272727271</v>
      </c>
      <c r="H7" s="21"/>
      <c r="I7" s="15">
        <v>66525.100000000006</v>
      </c>
      <c r="J7" s="16">
        <v>39840.009800000036</v>
      </c>
      <c r="K7" s="11">
        <f t="shared" si="1"/>
        <v>0.59887185137639831</v>
      </c>
      <c r="L7" s="42">
        <v>44</v>
      </c>
      <c r="M7" s="42">
        <v>51</v>
      </c>
      <c r="N7" s="12">
        <f t="shared" si="2"/>
        <v>1.1590909090909092</v>
      </c>
      <c r="O7" s="21"/>
      <c r="P7" s="15">
        <v>40323.71</v>
      </c>
      <c r="Q7" s="16">
        <v>43035.715538000004</v>
      </c>
      <c r="R7" s="11">
        <f t="shared" si="3"/>
        <v>1.0672558536404513</v>
      </c>
      <c r="S7" s="1">
        <v>42</v>
      </c>
      <c r="T7" s="1">
        <v>54</v>
      </c>
      <c r="U7" s="12">
        <f t="shared" si="4"/>
        <v>1.2857142857142858</v>
      </c>
      <c r="W7" s="26"/>
      <c r="X7" s="23" cm="1">
        <f t="array" ref="X7">(_xlfn.IFS(D7&lt;70%,0,AND(D7&gt;=70%,D7&lt;=120%),D7*30%,D7&gt;120%,120%*30%))+(_xlfn.IFS(G7&lt;70%,0,AND(G7&gt;=70%,G7&lt;=120%),G7*30%,G7&gt;120%,120%*30%))+(_xlfn.IFS(K7&lt;70%,0,AND(K7&gt;=70%,K7&lt;=120%),K7*7.5%,K7&gt;120%,120%*7.5%))+(_xlfn.IFS(N7&lt;70%,0,AND(N7&gt;=70%,N7&lt;=120%),N7*7.5%,N7&gt;120%,120%*7.5%))+(_xlfn.IFS(R7&lt;70%,0,AND(R7&gt;=70%,R7&lt;=120%),R7*12.5%,R7&gt;120%,120%*12.5%))+(_xlfn.IFS(U7&lt;70%,0,AND(U7&gt;=70%,U7&lt;=120%),U7*12.5%,U7&gt;120%,120%*12.5%))</f>
        <v>0.85277211072635983</v>
      </c>
      <c r="Y7" s="28">
        <f t="shared" si="7"/>
        <v>0</v>
      </c>
    </row>
    <row r="8" spans="1:34" x14ac:dyDescent="0.25">
      <c r="A8" t="s">
        <v>36</v>
      </c>
      <c r="B8" s="15">
        <v>801935.17000000016</v>
      </c>
      <c r="C8" s="16">
        <v>378647.40723499988</v>
      </c>
      <c r="D8" s="11">
        <f t="shared" si="6"/>
        <v>0.47216710452417221</v>
      </c>
      <c r="E8" s="42">
        <v>110</v>
      </c>
      <c r="F8" s="42">
        <v>57</v>
      </c>
      <c r="G8" s="12">
        <f t="shared" si="0"/>
        <v>0.51818181818181819</v>
      </c>
      <c r="H8" s="21"/>
      <c r="I8" s="15">
        <v>111730.20000000001</v>
      </c>
      <c r="J8" s="16">
        <v>60292.897736999999</v>
      </c>
      <c r="K8" s="11">
        <f t="shared" si="1"/>
        <v>0.53962937269422229</v>
      </c>
      <c r="L8" s="42">
        <v>55</v>
      </c>
      <c r="M8" s="42">
        <v>48</v>
      </c>
      <c r="N8" s="12">
        <f t="shared" si="2"/>
        <v>0.87272727272727268</v>
      </c>
      <c r="O8" s="21"/>
      <c r="P8" s="15">
        <v>56487.86</v>
      </c>
      <c r="Q8" s="16">
        <v>40373.386772999998</v>
      </c>
      <c r="R8" s="11">
        <f t="shared" si="3"/>
        <v>0.71472678860555172</v>
      </c>
      <c r="S8" s="1">
        <v>53</v>
      </c>
      <c r="T8" s="1">
        <v>40</v>
      </c>
      <c r="U8" s="12">
        <f t="shared" si="4"/>
        <v>0.75471698113207553</v>
      </c>
      <c r="W8" s="26"/>
      <c r="X8" s="23" cm="1">
        <f t="array" ref="X8">(_xlfn.IFS(D8&lt;70%,0,AND(D8&gt;=70%,D8&lt;=120%),D8*30%,D8&gt;120%,120%*30%))+(_xlfn.IFS(G8&lt;70%,0,AND(G8&gt;=70%,G8&lt;=120%),G8*30%,G8&gt;120%,120%*30%))+(_xlfn.IFS(K8&lt;70%,0,AND(K8&gt;=70%,K8&lt;=120%),K8*7.5%,K8&gt;120%,120%*7.5%))+(_xlfn.IFS(N8&lt;70%,0,AND(N8&gt;=70%,N8&lt;=120%),N8*7.5%,N8&gt;120%,120%*7.5%))+(_xlfn.IFS(R8&lt;70%,0,AND(R8&gt;=70%,R8&lt;=120%),R8*12.5%,R8&gt;120%,120%*12.5%))+(_xlfn.IFS(U8&lt;70%,0,AND(U8&gt;=70%,U8&lt;=120%),U8*12.5%,U8&gt;120%,120%*12.5%))</f>
        <v>0.24913501667174884</v>
      </c>
      <c r="Y8" s="28">
        <f t="shared" si="7"/>
        <v>0</v>
      </c>
    </row>
    <row r="9" spans="1:34" x14ac:dyDescent="0.25">
      <c r="A9" t="s">
        <v>37</v>
      </c>
      <c r="B9" s="15">
        <v>424892.85</v>
      </c>
      <c r="C9" s="16">
        <v>262326.77396800072</v>
      </c>
      <c r="D9" s="11">
        <f t="shared" si="6"/>
        <v>0.61739512436606248</v>
      </c>
      <c r="E9" s="42">
        <v>83</v>
      </c>
      <c r="F9" s="42">
        <v>60</v>
      </c>
      <c r="G9" s="12">
        <f t="shared" si="0"/>
        <v>0.72289156626506024</v>
      </c>
      <c r="H9" s="21"/>
      <c r="I9" s="15">
        <v>80330.929999999993</v>
      </c>
      <c r="J9" s="16">
        <v>54653.048382000023</v>
      </c>
      <c r="K9" s="11">
        <f t="shared" si="1"/>
        <v>0.68034875709767118</v>
      </c>
      <c r="L9" s="42">
        <v>51</v>
      </c>
      <c r="M9" s="42">
        <v>51</v>
      </c>
      <c r="N9" s="12">
        <f t="shared" si="2"/>
        <v>1</v>
      </c>
      <c r="O9" s="21"/>
      <c r="P9" s="15">
        <v>39804.75</v>
      </c>
      <c r="Q9" s="16">
        <v>47831.308919999996</v>
      </c>
      <c r="R9" s="11">
        <f t="shared" si="3"/>
        <v>1.201648268611158</v>
      </c>
      <c r="S9" s="1">
        <v>41</v>
      </c>
      <c r="T9" s="1">
        <v>45</v>
      </c>
      <c r="U9" s="12">
        <f t="shared" si="4"/>
        <v>1.0975609756097562</v>
      </c>
      <c r="W9" s="26"/>
      <c r="X9" s="23" cm="1">
        <f t="array" ref="X9">(_xlfn.IFS(D9&lt;70%,0,AND(D9&gt;=70%,D9&lt;=120%),D9*30%,D9&gt;120%,120%*30%))+(_xlfn.IFS(G9&lt;70%,0,AND(G9&gt;=70%,G9&lt;=120%),G9*30%,G9&gt;120%,120%*30%))+(_xlfn.IFS(K9&lt;70%,0,AND(K9&gt;=70%,K9&lt;=120%),K9*7.5%,K9&gt;120%,120%*7.5%))+(_xlfn.IFS(N9&lt;70%,0,AND(N9&gt;=70%,N9&lt;=120%),N9*7.5%,N9&gt;120%,120%*7.5%))+(_xlfn.IFS(R9&lt;70%,0,AND(R9&gt;=70%,R9&lt;=120%),R9*12.5%,R9&gt;120%,120%*12.5%))+(_xlfn.IFS(U9&lt;70%,0,AND(U9&gt;=70%,U9&lt;=120%),U9*12.5%,U9&gt;120%,120%*12.5%))</f>
        <v>0.57906259183073761</v>
      </c>
      <c r="Y9" s="28">
        <f t="shared" si="7"/>
        <v>0</v>
      </c>
    </row>
    <row r="10" spans="1:34" x14ac:dyDescent="0.25">
      <c r="A10" t="s">
        <v>25</v>
      </c>
      <c r="B10" s="15">
        <v>1091771.02</v>
      </c>
      <c r="C10" s="16">
        <v>766953.02787200012</v>
      </c>
      <c r="D10" s="11">
        <f t="shared" si="6"/>
        <v>0.7024852407897767</v>
      </c>
      <c r="E10" s="42">
        <v>163</v>
      </c>
      <c r="F10" s="42">
        <v>110</v>
      </c>
      <c r="G10" s="12">
        <f t="shared" si="0"/>
        <v>0.67484662576687116</v>
      </c>
      <c r="H10" s="21"/>
      <c r="I10" s="15">
        <v>137033.38</v>
      </c>
      <c r="J10" s="16">
        <v>83201.831995</v>
      </c>
      <c r="K10" s="11">
        <f t="shared" si="1"/>
        <v>0.60716470684004142</v>
      </c>
      <c r="L10" s="42">
        <v>88</v>
      </c>
      <c r="M10" s="42">
        <v>36</v>
      </c>
      <c r="N10" s="12">
        <f t="shared" si="2"/>
        <v>0.40909090909090912</v>
      </c>
      <c r="O10" s="21"/>
      <c r="P10" s="15">
        <v>56084.11</v>
      </c>
      <c r="Q10" s="16">
        <v>60119.73260600002</v>
      </c>
      <c r="R10" s="11">
        <f t="shared" si="3"/>
        <v>1.0719566131298155</v>
      </c>
      <c r="S10" s="1">
        <v>81</v>
      </c>
      <c r="T10" s="1">
        <v>42</v>
      </c>
      <c r="U10" s="12">
        <f t="shared" si="4"/>
        <v>0.51851851851851849</v>
      </c>
      <c r="W10" s="26"/>
      <c r="X10" s="23" cm="1">
        <f t="array" ref="X10">(_xlfn.IFS(D10&lt;70%,0,AND(D10&gt;=70%,D10&lt;=120%),D10*30%,D10&gt;120%,120%*30%))+(_xlfn.IFS(G10&lt;70%,0,AND(G10&gt;=70%,G10&lt;=120%),G10*30%,G10&gt;120%,120%*30%))+(_xlfn.IFS(K10&lt;70%,0,AND(K10&gt;=70%,K10&lt;=120%),K10*7.5%,K10&gt;120%,120%*7.5%))+(_xlfn.IFS(N10&lt;70%,0,AND(N10&gt;=70%,N10&lt;=120%),N10*7.5%,N10&gt;120%,120%*7.5%))+(_xlfn.IFS(R10&lt;70%,0,AND(R10&gt;=70%,R10&lt;=120%),R10*12.5%,R10&gt;120%,120%*12.5%))+(_xlfn.IFS(U10&lt;70%,0,AND(U10&gt;=70%,U10&lt;=120%),U10*12.5%,U10&gt;120%,120%*12.5%))</f>
        <v>0.34474014887815996</v>
      </c>
      <c r="Y10" s="28">
        <f t="shared" si="7"/>
        <v>0</v>
      </c>
    </row>
    <row r="11" spans="1:34" x14ac:dyDescent="0.25">
      <c r="A11" t="s">
        <v>38</v>
      </c>
      <c r="B11" s="15">
        <v>1011234.808348</v>
      </c>
      <c r="C11" s="16">
        <v>829399.38364799984</v>
      </c>
      <c r="D11" s="11">
        <f t="shared" si="6"/>
        <v>0.820184765003239</v>
      </c>
      <c r="E11" s="42">
        <v>0</v>
      </c>
      <c r="F11" s="42">
        <v>23</v>
      </c>
      <c r="G11" s="12">
        <f t="shared" si="0"/>
        <v>0</v>
      </c>
      <c r="H11" s="21"/>
      <c r="I11" s="15">
        <v>73493.012400000007</v>
      </c>
      <c r="J11" s="16">
        <v>2697.84</v>
      </c>
      <c r="K11" s="11">
        <f t="shared" si="1"/>
        <v>3.6708796005210417E-2</v>
      </c>
      <c r="L11" s="42">
        <v>0</v>
      </c>
      <c r="M11" s="42">
        <v>2</v>
      </c>
      <c r="N11" s="12">
        <f t="shared" si="2"/>
        <v>0</v>
      </c>
      <c r="O11" s="21"/>
      <c r="P11" s="15">
        <v>76064.6600206</v>
      </c>
      <c r="Q11" s="16">
        <v>54615.198312</v>
      </c>
      <c r="R11" s="11">
        <f t="shared" si="3"/>
        <v>0.71801015474477892</v>
      </c>
      <c r="S11" s="1">
        <v>0</v>
      </c>
      <c r="T11" s="1">
        <v>5</v>
      </c>
      <c r="U11" s="12">
        <f t="shared" si="4"/>
        <v>0</v>
      </c>
      <c r="W11" s="26"/>
      <c r="X11" s="23" cm="1">
        <f t="array" ref="X11">(_xlfn.IFS(D11&lt;70%,0,AND(D11&gt;=70%,D11&lt;=120%),D11*60%,D11&gt;120%,120%*60%))+(_xlfn.IFS(K11&lt;70%,0,AND(K11&gt;=70%,K11&lt;=120%),K11*15%,K11&gt;120%,120%*15%))+(_xlfn.IFS(R11&lt;70%,0,AND(R11&gt;=70%,R11&lt;=120%),R11*25%,R11&gt;120%,120%*25%))</f>
        <v>0.6716133976881381</v>
      </c>
      <c r="Y11" s="28">
        <f t="shared" ref="Y11" si="8">X11*(W11/2)</f>
        <v>0</v>
      </c>
    </row>
    <row r="12" spans="1:34" x14ac:dyDescent="0.25">
      <c r="A12" t="s">
        <v>27</v>
      </c>
      <c r="B12" s="15">
        <v>356682.23999999999</v>
      </c>
      <c r="C12" s="16">
        <v>392155.33807099971</v>
      </c>
      <c r="D12" s="11">
        <f t="shared" si="6"/>
        <v>1.099452941842576</v>
      </c>
      <c r="E12" s="42">
        <v>53</v>
      </c>
      <c r="F12" s="42">
        <v>50</v>
      </c>
      <c r="G12" s="12">
        <f t="shared" si="0"/>
        <v>0.94339622641509435</v>
      </c>
      <c r="H12" s="32"/>
      <c r="I12" s="15">
        <v>33608.449999999997</v>
      </c>
      <c r="J12" s="16">
        <v>22137.089199999999</v>
      </c>
      <c r="K12" s="11">
        <f t="shared" si="1"/>
        <v>0.65867629123033045</v>
      </c>
      <c r="L12" s="42">
        <v>28</v>
      </c>
      <c r="M12" s="42">
        <v>34</v>
      </c>
      <c r="N12" s="12">
        <f t="shared" si="2"/>
        <v>1.2142857142857142</v>
      </c>
      <c r="O12" s="32"/>
      <c r="P12" s="15">
        <v>24646.45</v>
      </c>
      <c r="Q12" s="16">
        <v>31747.36572400001</v>
      </c>
      <c r="R12" s="11">
        <f t="shared" si="3"/>
        <v>1.2881110960807747</v>
      </c>
      <c r="S12" s="1">
        <v>26</v>
      </c>
      <c r="T12" s="1">
        <v>31</v>
      </c>
      <c r="U12" s="12">
        <f t="shared" si="4"/>
        <v>1.1923076923076923</v>
      </c>
      <c r="W12" s="33"/>
      <c r="X12" s="23" cm="1">
        <f t="array" ref="X12">(_xlfn.IFS(D12&lt;70%,0,AND(D12&gt;=70%,D12&lt;=120%),D12*30%,D12&gt;120%,120%*30%))+(_xlfn.IFS(G12&lt;70%,0,AND(G12&gt;=70%,G12&lt;=120%),G12*30%,G12&gt;120%,120%*30%))+(_xlfn.IFS(K12&lt;70%,0,AND(K12&gt;=70%,K12&lt;=120%),K12*7.5%,K12&gt;120%,120%*7.5%))+(_xlfn.IFS(N12&lt;70%,0,AND(N12&gt;=70%,N12&lt;=120%),N12*7.5%,N12&gt;120%,120%*7.5%))+(_xlfn.IFS(R12&lt;70%,0,AND(R12&gt;=70%,R12&lt;=120%),R12*12.5%,R12&gt;120%,120%*12.5%))+(_xlfn.IFS(U12&lt;70%,0,AND(U12&gt;=70%,U12&lt;=120%),U12*12.5%,U12&gt;120%,120%*12.5%))</f>
        <v>1.0018932120157626</v>
      </c>
      <c r="Y12" s="28">
        <f t="shared" ref="Y12" si="9">X12*(W12/2)</f>
        <v>0</v>
      </c>
      <c r="AC12" s="35"/>
      <c r="AD12" s="35"/>
      <c r="AF12" s="37"/>
      <c r="AG12" s="37"/>
      <c r="AH12" s="35"/>
    </row>
    <row r="13" spans="1:34" x14ac:dyDescent="0.25">
      <c r="A13" t="s">
        <v>3</v>
      </c>
      <c r="B13" s="15">
        <v>1774936.01</v>
      </c>
      <c r="C13" s="16">
        <v>955036.068273001</v>
      </c>
      <c r="D13" s="11">
        <f t="shared" si="6"/>
        <v>0.53806788689413143</v>
      </c>
      <c r="E13" s="42">
        <v>115</v>
      </c>
      <c r="F13" s="42">
        <v>85</v>
      </c>
      <c r="G13" s="12">
        <f t="shared" si="0"/>
        <v>0.73913043478260865</v>
      </c>
      <c r="H13" s="21"/>
      <c r="I13" s="15">
        <v>238863.56</v>
      </c>
      <c r="J13" s="16">
        <v>118572.65259999993</v>
      </c>
      <c r="K13" s="11">
        <f t="shared" si="1"/>
        <v>0.49640327139057933</v>
      </c>
      <c r="L13" s="42">
        <v>53</v>
      </c>
      <c r="M13" s="42">
        <v>61</v>
      </c>
      <c r="N13" s="12">
        <f t="shared" si="2"/>
        <v>1.1509433962264151</v>
      </c>
      <c r="O13" s="21"/>
      <c r="P13" s="15">
        <v>118181.8</v>
      </c>
      <c r="Q13" s="16">
        <v>106810.51460000004</v>
      </c>
      <c r="R13" s="11">
        <f t="shared" si="3"/>
        <v>0.90378141642791054</v>
      </c>
      <c r="S13" s="1">
        <v>51</v>
      </c>
      <c r="T13" s="1">
        <v>58</v>
      </c>
      <c r="U13" s="12">
        <f t="shared" si="4"/>
        <v>1.1372549019607843</v>
      </c>
      <c r="W13" s="26"/>
      <c r="X13" s="23" cm="1">
        <f t="array" ref="X13">(_xlfn.IFS(D13&lt;70%,0,AND(D13&gt;=70%,D13&lt;=120%),D13*30%,D13&gt;120%,120%*30%))+(_xlfn.IFS(G13&lt;70%,0,AND(G13&gt;=70%,G13&lt;=120%),G13*30%,G13&gt;120%,120%*30%))+(_xlfn.IFS(K13&lt;70%,0,AND(K13&gt;=70%,K13&lt;=120%),K13*7.5%,K13&gt;120%,120%*7.5%))+(_xlfn.IFS(N13&lt;70%,0,AND(N13&gt;=70%,N13&lt;=120%),N13*7.5%,N13&gt;120%,120%*7.5%))+(_xlfn.IFS(R13&lt;70%,0,AND(R13&gt;=70%,R13&lt;=120%),R13*12.5%,R13&gt;120%,120%*12.5%))+(_xlfn.IFS(U13&lt;70%,0,AND(U13&gt;=70%,U13&lt;=120%),U13*12.5%,U13&gt;120%,120%*12.5%))</f>
        <v>0.56318942495035063</v>
      </c>
      <c r="Y13" s="28">
        <f t="shared" si="7"/>
        <v>0</v>
      </c>
    </row>
    <row r="14" spans="1:34" x14ac:dyDescent="0.25">
      <c r="A14" t="s">
        <v>10</v>
      </c>
      <c r="B14" s="15">
        <v>738746.12</v>
      </c>
      <c r="C14" s="16">
        <v>487901.12234299944</v>
      </c>
      <c r="D14" s="11">
        <f t="shared" si="6"/>
        <v>0.66044492029683954</v>
      </c>
      <c r="E14" s="42">
        <v>118</v>
      </c>
      <c r="F14" s="42">
        <v>92</v>
      </c>
      <c r="G14" s="12">
        <f t="shared" si="0"/>
        <v>0.77966101694915257</v>
      </c>
      <c r="H14" s="21"/>
      <c r="I14" s="15">
        <v>88336.07</v>
      </c>
      <c r="J14" s="16">
        <v>64906.475252000011</v>
      </c>
      <c r="K14" s="11">
        <f t="shared" si="1"/>
        <v>0.73476752194205608</v>
      </c>
      <c r="L14" s="42">
        <v>63</v>
      </c>
      <c r="M14" s="42">
        <v>61</v>
      </c>
      <c r="N14" s="12">
        <f t="shared" si="2"/>
        <v>0.96825396825396826</v>
      </c>
      <c r="O14" s="21"/>
      <c r="P14" s="15">
        <v>35330.65</v>
      </c>
      <c r="Q14" s="16">
        <v>45239.266883999953</v>
      </c>
      <c r="R14" s="11">
        <f t="shared" si="3"/>
        <v>1.2804538519387543</v>
      </c>
      <c r="S14" s="1">
        <v>61</v>
      </c>
      <c r="T14" s="1">
        <v>56</v>
      </c>
      <c r="U14" s="12">
        <f t="shared" si="4"/>
        <v>0.91803278688524592</v>
      </c>
      <c r="W14" s="26"/>
      <c r="X14" s="23" cm="1">
        <f t="array" ref="X14">(_xlfn.IFS(D14&lt;70%,0,AND(D14&gt;=70%,D14&lt;=120%),D14*30%,D14&gt;120%,120%*30%))+(_xlfn.IFS(G14&lt;70%,0,AND(G14&gt;=70%,G14&lt;=120%),G14*30%,G14&gt;120%,120%*30%))+(_xlfn.IFS(K14&lt;70%,0,AND(K14&gt;=70%,K14&lt;=120%),K14*7.5%,K14&gt;120%,120%*7.5%))+(_xlfn.IFS(N14&lt;70%,0,AND(N14&gt;=70%,N14&lt;=120%),N14*7.5%,N14&gt;120%,120%*7.5%))+(_xlfn.IFS(R14&lt;70%,0,AND(R14&gt;=70%,R14&lt;=120%),R14*12.5%,R14&gt;120%,120%*12.5%))+(_xlfn.IFS(U14&lt;70%,0,AND(U14&gt;=70%,U14&lt;=120%),U14*12.5%,U14&gt;120%,120%*12.5%))</f>
        <v>0.62637901521010331</v>
      </c>
      <c r="Y14" s="28">
        <f t="shared" si="7"/>
        <v>0</v>
      </c>
    </row>
    <row r="15" spans="1:34" x14ac:dyDescent="0.25">
      <c r="A15" t="s">
        <v>4</v>
      </c>
      <c r="B15" s="15">
        <v>1042511.91</v>
      </c>
      <c r="C15" s="16">
        <v>749960.5917670012</v>
      </c>
      <c r="D15" s="11">
        <f t="shared" si="6"/>
        <v>0.71937844025877962</v>
      </c>
      <c r="E15" s="42">
        <v>73</v>
      </c>
      <c r="F15" s="42">
        <v>67</v>
      </c>
      <c r="G15" s="12">
        <f t="shared" si="0"/>
        <v>0.9178082191780822</v>
      </c>
      <c r="H15" s="21"/>
      <c r="I15" s="15">
        <v>120032.68</v>
      </c>
      <c r="J15" s="16">
        <v>56883.381792999971</v>
      </c>
      <c r="K15" s="11">
        <f t="shared" si="1"/>
        <v>0.47389912308048088</v>
      </c>
      <c r="L15" s="42">
        <v>39</v>
      </c>
      <c r="M15" s="42">
        <v>49</v>
      </c>
      <c r="N15" s="12">
        <f t="shared" si="2"/>
        <v>1.2564102564102564</v>
      </c>
      <c r="O15" s="21"/>
      <c r="P15" s="15">
        <v>49327.8</v>
      </c>
      <c r="Q15" s="16">
        <v>90113.40974599999</v>
      </c>
      <c r="R15" s="11">
        <f t="shared" si="3"/>
        <v>1.8268280715134262</v>
      </c>
      <c r="S15" s="1">
        <v>37</v>
      </c>
      <c r="T15" s="1">
        <v>45</v>
      </c>
      <c r="U15" s="12">
        <f t="shared" si="4"/>
        <v>1.2162162162162162</v>
      </c>
      <c r="W15" s="26"/>
      <c r="X15" s="23" cm="1">
        <f t="array" ref="X15">(_xlfn.IFS(D15&lt;70%,0,AND(D15&gt;=70%,D15&lt;=120%),D15*30%,D15&gt;120%,120%*30%))+(_xlfn.IFS(G15&lt;70%,0,AND(G15&gt;=70%,G15&lt;=120%),G15*30%,G15&gt;120%,120%*30%))+(_xlfn.IFS(K15&lt;70%,0,AND(K15&gt;=70%,K15&lt;=120%),K15*7.5%,K15&gt;120%,120%*7.5%))+(_xlfn.IFS(N15&lt;70%,0,AND(N15&gt;=70%,N15&lt;=120%),N15*7.5%,N15&gt;120%,120%*7.5%))+(_xlfn.IFS(R15&lt;70%,0,AND(R15&gt;=70%,R15&lt;=120%),R15*12.5%,R15&gt;120%,120%*12.5%))+(_xlfn.IFS(U15&lt;70%,0,AND(U15&gt;=70%,U15&lt;=120%),U15*12.5%,U15&gt;120%,120%*12.5%))</f>
        <v>0.88115599783105858</v>
      </c>
      <c r="Y15" s="28">
        <f t="shared" si="7"/>
        <v>0</v>
      </c>
    </row>
    <row r="16" spans="1:34" x14ac:dyDescent="0.25">
      <c r="A16" t="s">
        <v>47</v>
      </c>
      <c r="B16" s="15">
        <v>479634.65</v>
      </c>
      <c r="C16" s="16">
        <v>278981.67882800009</v>
      </c>
      <c r="D16" s="11">
        <f t="shared" si="6"/>
        <v>0.58165455483251693</v>
      </c>
      <c r="E16" s="42">
        <v>58</v>
      </c>
      <c r="F16" s="42">
        <v>39</v>
      </c>
      <c r="G16" s="12">
        <f t="shared" si="0"/>
        <v>0.67241379310344829</v>
      </c>
      <c r="H16" s="21"/>
      <c r="I16" s="15">
        <v>66799.490000000005</v>
      </c>
      <c r="J16" s="16">
        <v>24573.1492</v>
      </c>
      <c r="K16" s="11">
        <f t="shared" si="1"/>
        <v>0.36786432351504478</v>
      </c>
      <c r="L16" s="42">
        <v>31</v>
      </c>
      <c r="M16" s="42">
        <v>33</v>
      </c>
      <c r="N16" s="59">
        <f t="shared" si="2"/>
        <v>1.064516129032258</v>
      </c>
      <c r="O16" s="21"/>
      <c r="P16" s="15">
        <v>39694.269999999997</v>
      </c>
      <c r="Q16" s="16">
        <v>35782.180154000016</v>
      </c>
      <c r="R16" s="21">
        <f t="shared" si="3"/>
        <v>0.90144446928990052</v>
      </c>
      <c r="S16" s="1">
        <v>30</v>
      </c>
      <c r="T16" s="1">
        <v>30</v>
      </c>
      <c r="U16" s="59">
        <f t="shared" si="4"/>
        <v>1</v>
      </c>
      <c r="W16" s="26"/>
      <c r="X16" s="23" cm="1">
        <f t="array" ref="X16">(_xlfn.IFS(D16&lt;70%,0,AND(D16&gt;=70%,D16&lt;=120%),D16*30%,D16&gt;120%,120%*30%))+(_xlfn.IFS(G16&lt;70%,0,AND(G16&gt;=70%,G16&lt;=120%),G16*30%,G16&gt;120%,120%*30%))+(_xlfn.IFS(K16&lt;70%,0,AND(K16&gt;=70%,K16&lt;=120%),K16*7.5%,K16&gt;120%,120%*7.5%))+(_xlfn.IFS(N16&lt;70%,0,AND(N16&gt;=70%,N16&lt;=120%),N16*7.5%,N16&gt;120%,120%*7.5%))+(_xlfn.IFS(R16&lt;70%,0,AND(R16&gt;=70%,R16&lt;=120%),R16*12.5%,R16&gt;120%,120%*12.5%))+(_xlfn.IFS(U16&lt;70%,0,AND(U16&gt;=70%,U16&lt;=120%),U16*12.5%,U16&gt;120%,120%*12.5%))</f>
        <v>0.3175192683386569</v>
      </c>
      <c r="Y16" s="28">
        <f t="shared" si="7"/>
        <v>0</v>
      </c>
    </row>
    <row r="17" spans="1:26" x14ac:dyDescent="0.25">
      <c r="A17" t="s">
        <v>45</v>
      </c>
      <c r="B17" s="15">
        <v>881843.39772299991</v>
      </c>
      <c r="C17" s="16">
        <v>726934.24592799938</v>
      </c>
      <c r="D17" s="11">
        <f t="shared" si="6"/>
        <v>0.82433485106880644</v>
      </c>
      <c r="E17" s="42">
        <v>0</v>
      </c>
      <c r="F17" s="42">
        <v>25</v>
      </c>
      <c r="G17" s="12">
        <f t="shared" si="0"/>
        <v>0</v>
      </c>
      <c r="H17" s="21"/>
      <c r="I17" s="15">
        <v>42674.271400000005</v>
      </c>
      <c r="J17" s="16">
        <v>89235.443239999993</v>
      </c>
      <c r="K17" s="11">
        <f t="shared" si="1"/>
        <v>2.0910829947995313</v>
      </c>
      <c r="L17" s="42">
        <v>0</v>
      </c>
      <c r="M17" s="42">
        <v>9</v>
      </c>
      <c r="N17" s="12">
        <f t="shared" si="2"/>
        <v>0</v>
      </c>
      <c r="O17" s="21"/>
      <c r="P17" s="15">
        <v>43249.5763037</v>
      </c>
      <c r="Q17" s="16">
        <v>90433.012955999991</v>
      </c>
      <c r="R17" s="11">
        <f t="shared" si="3"/>
        <v>2.0909571996954672</v>
      </c>
      <c r="S17" s="42">
        <v>0</v>
      </c>
      <c r="T17" s="42">
        <v>8</v>
      </c>
      <c r="U17" s="12">
        <f t="shared" si="4"/>
        <v>0</v>
      </c>
      <c r="W17" s="26"/>
      <c r="X17" s="23" cm="1">
        <f t="array" ref="X17">(_xlfn.IFS(D17&lt;70%,0,AND(D17&gt;=70%,D17&lt;=120%),D17*60%,D17&gt;120%,120%*60%))+(_xlfn.IFS(K17&lt;70%,0,AND(K17&gt;=70%,K17&lt;=120%),K17*15%,K17&gt;120%,120%*15%))+(_xlfn.IFS(R17&lt;70%,0,AND(R17&gt;=70%,R17&lt;=120%),R17*25%,R17&gt;120%,120%*25%))</f>
        <v>0.97460091064128385</v>
      </c>
      <c r="Y17" s="28">
        <f t="shared" si="7"/>
        <v>0</v>
      </c>
    </row>
    <row r="18" spans="1:26" x14ac:dyDescent="0.25">
      <c r="A18" t="s">
        <v>26</v>
      </c>
      <c r="B18" s="15">
        <v>453815.46587499999</v>
      </c>
      <c r="C18" s="16">
        <v>451849.99799999979</v>
      </c>
      <c r="D18" s="11">
        <f t="shared" si="6"/>
        <v>0.99566901522139495</v>
      </c>
      <c r="E18" s="42">
        <v>0</v>
      </c>
      <c r="F18" s="42">
        <v>16</v>
      </c>
      <c r="G18" s="12">
        <f t="shared" si="0"/>
        <v>0</v>
      </c>
      <c r="H18" s="21"/>
      <c r="I18" s="15">
        <v>60359.074199999995</v>
      </c>
      <c r="J18" s="16">
        <v>66849.839999999967</v>
      </c>
      <c r="K18" s="11">
        <f t="shared" si="1"/>
        <v>1.10753587403433</v>
      </c>
      <c r="L18" s="42">
        <v>0</v>
      </c>
      <c r="M18" s="42">
        <v>10</v>
      </c>
      <c r="N18" s="12">
        <f t="shared" si="2"/>
        <v>0</v>
      </c>
      <c r="O18" s="21"/>
      <c r="P18" s="15">
        <v>15761.344592799998</v>
      </c>
      <c r="Q18" s="16">
        <v>45579.731999999996</v>
      </c>
      <c r="R18" s="11">
        <f t="shared" si="3"/>
        <v>2.8918682496683341</v>
      </c>
      <c r="S18" s="1">
        <v>0</v>
      </c>
      <c r="T18" s="1">
        <v>9</v>
      </c>
      <c r="U18" s="12">
        <f t="shared" si="4"/>
        <v>0</v>
      </c>
      <c r="W18" s="26"/>
      <c r="X18" s="23" cm="1">
        <f t="array" ref="X18">(_xlfn.IFS(D18&lt;70%,0,AND(D18&gt;=70%,D18&lt;=120%),D18*60%,D18&gt;120%,120%*60%))+(_xlfn.IFS(K18&lt;70%,0,AND(K18&gt;=70%,K18&lt;=120%),K18*15%,K18&gt;120%,120%*15%))+(_xlfn.IFS(R18&lt;70%,0,AND(R18&gt;=70%,R18&lt;=120%),R18*25%,R18&gt;120%,120%*25%))</f>
        <v>1.0635317902379864</v>
      </c>
      <c r="Y18" s="28">
        <f t="shared" si="7"/>
        <v>0</v>
      </c>
    </row>
    <row r="19" spans="1:26" x14ac:dyDescent="0.25">
      <c r="A19" t="s">
        <v>49</v>
      </c>
      <c r="B19" s="63">
        <v>575710.84209199995</v>
      </c>
      <c r="C19" s="64">
        <v>1247324.7872319992</v>
      </c>
      <c r="D19" s="65">
        <f>AVERAGE(D5,D11,D17,D18)</f>
        <v>0.95854552864225862</v>
      </c>
      <c r="E19" s="66">
        <v>0</v>
      </c>
      <c r="F19" s="66">
        <v>19</v>
      </c>
      <c r="G19" s="67">
        <f>AVERAGE(G5,G11,G17,G18)</f>
        <v>0</v>
      </c>
      <c r="H19" s="65"/>
      <c r="I19" s="63">
        <v>22647.805200000003</v>
      </c>
      <c r="J19" s="64">
        <v>22141.594224</v>
      </c>
      <c r="K19" s="65">
        <f>AVERAGE(K5,K11,K17,K18)</f>
        <v>0.93106388891705127</v>
      </c>
      <c r="L19" s="66">
        <v>0</v>
      </c>
      <c r="M19" s="66">
        <v>8</v>
      </c>
      <c r="N19" s="67">
        <f>AVERAGE(N5,N11,N17,N18)</f>
        <v>0</v>
      </c>
      <c r="O19" s="65"/>
      <c r="P19" s="63">
        <v>33659.917569600002</v>
      </c>
      <c r="Q19" s="64">
        <v>40069.590792000003</v>
      </c>
      <c r="R19" s="65">
        <f>AVERAGE(R5,R11,R17,R18)</f>
        <v>1.826520512701729</v>
      </c>
      <c r="S19" s="66">
        <v>0</v>
      </c>
      <c r="T19" s="66">
        <v>19</v>
      </c>
      <c r="U19" s="67">
        <f>AVERAGE(U5,U11,U17,U18)</f>
        <v>0</v>
      </c>
      <c r="W19" s="26"/>
      <c r="X19" s="23" cm="1">
        <f t="array" ref="X19">(_xlfn.IFS(D19&lt;70%,0,AND(D19&gt;=70%,D19&lt;=120%),D19*60%,D19&gt;120%,120%*60%))+(_xlfn.IFS(K19&lt;70%,0,AND(K19&gt;=70%,K19&lt;=120%),K19*15%,K19&gt;120%,120%*15%))+(_xlfn.IFS(R19&lt;70%,0,AND(R19&gt;=70%,R19&lt;=120%),R19*25%,R19&gt;120%,120%*25%))</f>
        <v>1.0147869005229129</v>
      </c>
      <c r="Y19" s="28">
        <f t="shared" si="7"/>
        <v>0</v>
      </c>
    </row>
    <row r="20" spans="1:26" x14ac:dyDescent="0.25">
      <c r="A20" t="s">
        <v>6</v>
      </c>
      <c r="B20" s="15">
        <v>558383.56999999995</v>
      </c>
      <c r="C20" s="16">
        <v>558461.25404599984</v>
      </c>
      <c r="D20" s="11">
        <f t="shared" si="6"/>
        <v>1.0001391230870205</v>
      </c>
      <c r="E20" s="42">
        <v>77</v>
      </c>
      <c r="F20" s="42">
        <v>71</v>
      </c>
      <c r="G20" s="12">
        <f t="shared" si="0"/>
        <v>0.92207792207792205</v>
      </c>
      <c r="H20" s="21"/>
      <c r="I20" s="15">
        <v>105115.78</v>
      </c>
      <c r="J20" s="16">
        <v>99527.272468999887</v>
      </c>
      <c r="K20" s="11">
        <f t="shared" si="1"/>
        <v>0.94683474230985953</v>
      </c>
      <c r="L20" s="42">
        <v>42</v>
      </c>
      <c r="M20" s="42">
        <v>47</v>
      </c>
      <c r="N20" s="12">
        <f t="shared" si="2"/>
        <v>1.1190476190476191</v>
      </c>
      <c r="O20" s="21"/>
      <c r="P20" s="15">
        <v>29584.68</v>
      </c>
      <c r="Q20" s="16">
        <v>62925.597380000007</v>
      </c>
      <c r="R20" s="11">
        <f t="shared" si="3"/>
        <v>2.1269656247760667</v>
      </c>
      <c r="S20" s="1">
        <v>40</v>
      </c>
      <c r="T20" s="1">
        <v>38</v>
      </c>
      <c r="U20" s="12">
        <f t="shared" si="4"/>
        <v>0.95</v>
      </c>
      <c r="W20" s="26"/>
      <c r="X20" s="23" cm="1">
        <f t="array" ref="X20">(_xlfn.IFS(D20&lt;70%,0,AND(D20&gt;=70%,D20&lt;=120%),D20*30%,D20&gt;120%,120%*30%))+(_xlfn.IFS(G20&lt;70%,0,AND(G20&gt;=70%,G20&lt;=120%),G20*30%,G20&gt;120%,120%*30%))+(_xlfn.IFS(K20&lt;70%,0,AND(K20&gt;=70%,K20&lt;=120%),K20*7.5%,K20&gt;120%,120%*7.5%))+(_xlfn.IFS(N20&lt;70%,0,AND(N20&gt;=70%,N20&lt;=120%),N20*7.5%,N20&gt;120%,120%*7.5%))+(_xlfn.IFS(R20&lt;70%,0,AND(R20&gt;=70%,R20&lt;=120%),R20*12.5%,R20&gt;120%,120%*12.5%))+(_xlfn.IFS(U20&lt;70%,0,AND(U20&gt;=70%,U20&lt;=120%),U20*12.5%,U20&gt;120%,120%*12.5%))</f>
        <v>1.0003562906512935</v>
      </c>
      <c r="Y20" s="28">
        <f t="shared" si="7"/>
        <v>0</v>
      </c>
    </row>
    <row r="21" spans="1:26" x14ac:dyDescent="0.25">
      <c r="A21" t="s">
        <v>46</v>
      </c>
      <c r="B21" s="15">
        <v>419784.58</v>
      </c>
      <c r="C21" s="16">
        <v>294705.20515699952</v>
      </c>
      <c r="D21" s="11">
        <f t="shared" si="6"/>
        <v>0.70203913911511351</v>
      </c>
      <c r="E21" s="42">
        <v>63</v>
      </c>
      <c r="F21" s="42">
        <v>47</v>
      </c>
      <c r="G21" s="12">
        <f t="shared" si="0"/>
        <v>0.74603174603174605</v>
      </c>
      <c r="H21" s="21"/>
      <c r="I21" s="15">
        <v>53024.09</v>
      </c>
      <c r="J21" s="16">
        <v>24312.931600000011</v>
      </c>
      <c r="K21" s="11">
        <f t="shared" si="1"/>
        <v>0.45852614538033587</v>
      </c>
      <c r="L21" s="42">
        <v>30</v>
      </c>
      <c r="M21" s="42">
        <v>31</v>
      </c>
      <c r="N21" s="12">
        <f t="shared" si="2"/>
        <v>1.0333333333333334</v>
      </c>
      <c r="O21" s="21"/>
      <c r="P21" s="15">
        <v>23666.2</v>
      </c>
      <c r="Q21" s="16">
        <v>20103.091799999991</v>
      </c>
      <c r="R21" s="11">
        <f t="shared" si="3"/>
        <v>0.84944316366801553</v>
      </c>
      <c r="S21" s="1">
        <v>29</v>
      </c>
      <c r="T21" s="1">
        <v>30</v>
      </c>
      <c r="U21" s="12">
        <f t="shared" si="4"/>
        <v>1.0344827586206897</v>
      </c>
      <c r="W21" s="26"/>
      <c r="X21" s="23" cm="1">
        <f t="array" ref="X21">(_xlfn.IFS(D21&lt;70%,0,AND(D21&gt;=70%,D21&lt;=120%),D21*30%,D21&gt;120%,120%*30%))+(_xlfn.IFS(G21&lt;70%,0,AND(G21&gt;=70%,G21&lt;=120%),G21*30%,G21&gt;120%,120%*30%))+(_xlfn.IFS(K21&lt;70%,0,AND(K21&gt;=70%,K21&lt;=120%),K21*7.5%,K21&gt;120%,120%*7.5%))+(_xlfn.IFS(N21&lt;70%,0,AND(N21&gt;=70%,N21&lt;=120%),N21*7.5%,N21&gt;120%,120%*7.5%))+(_xlfn.IFS(R21&lt;70%,0,AND(R21&gt;=70%,R21&lt;=120%),R21*12.5%,R21&gt;120%,120%*12.5%))+(_xlfn.IFS(U21&lt;70%,0,AND(U21&gt;=70%,U21&lt;=120%),U21*12.5%,U21&gt;120%,120%*12.5%))</f>
        <v>0.747412005830146</v>
      </c>
      <c r="Y21" s="28">
        <f t="shared" si="7"/>
        <v>0</v>
      </c>
    </row>
    <row r="22" spans="1:26" x14ac:dyDescent="0.25">
      <c r="A22" t="s">
        <v>32</v>
      </c>
      <c r="B22" s="15">
        <v>4076639</v>
      </c>
      <c r="C22" s="16">
        <v>3525420.8624000018</v>
      </c>
      <c r="D22" s="11">
        <f t="shared" si="6"/>
        <v>0.86478612955427303</v>
      </c>
      <c r="E22" s="42">
        <v>0</v>
      </c>
      <c r="F22" s="42">
        <v>29</v>
      </c>
      <c r="G22" s="12">
        <f t="shared" si="0"/>
        <v>0</v>
      </c>
      <c r="H22" s="21"/>
      <c r="I22" s="15">
        <v>267432</v>
      </c>
      <c r="J22" s="16">
        <v>195594.55719999995</v>
      </c>
      <c r="K22" s="11">
        <f t="shared" si="1"/>
        <v>0.7313805273864008</v>
      </c>
      <c r="L22" s="42">
        <v>0</v>
      </c>
      <c r="M22" s="42">
        <v>20</v>
      </c>
      <c r="N22" s="12">
        <f t="shared" si="2"/>
        <v>0</v>
      </c>
      <c r="O22" s="21"/>
      <c r="P22" s="15">
        <v>201304</v>
      </c>
      <c r="Q22" s="16">
        <v>232507.60359999989</v>
      </c>
      <c r="R22" s="11">
        <f t="shared" si="3"/>
        <v>1.1550073699479388</v>
      </c>
      <c r="S22" s="42">
        <v>0</v>
      </c>
      <c r="T22" s="42">
        <v>22</v>
      </c>
      <c r="U22" s="12">
        <f t="shared" si="4"/>
        <v>0</v>
      </c>
      <c r="W22" s="26"/>
      <c r="X22" s="23" cm="1">
        <f t="array" ref="X22">(_xlfn.IFS(D22&lt;70%,0,AND(D22&gt;=70%,D22&lt;=120%),D22*60%,D22&gt;120%,120%*60%))+(_xlfn.IFS(K22&lt;70%,0,AND(K22&gt;=70%,K22&lt;=120%),K22*15%,K22&gt;120%,120%*15%))+(_xlfn.IFS(R22&lt;70%,0,AND(R22&gt;=70%,R22&lt;=120%),R22*25%,R22&gt;120%,120%*25%))</f>
        <v>0.9173305993275086</v>
      </c>
      <c r="Y22" s="28">
        <f t="shared" si="7"/>
        <v>0</v>
      </c>
    </row>
    <row r="23" spans="1:26" x14ac:dyDescent="0.25">
      <c r="A23" t="s">
        <v>50</v>
      </c>
      <c r="B23" s="17">
        <v>710857.78</v>
      </c>
      <c r="C23" s="18">
        <v>314291.17906499968</v>
      </c>
      <c r="D23" s="68">
        <f t="shared" si="6"/>
        <v>0.4421294778049692</v>
      </c>
      <c r="E23" s="69">
        <v>77</v>
      </c>
      <c r="F23" s="69">
        <v>40</v>
      </c>
      <c r="G23" s="70">
        <f t="shared" si="0"/>
        <v>0.51948051948051943</v>
      </c>
      <c r="H23" s="21"/>
      <c r="I23" s="17">
        <v>41149.879999999997</v>
      </c>
      <c r="J23" s="18">
        <v>29563.306074000018</v>
      </c>
      <c r="K23" s="68">
        <f t="shared" si="1"/>
        <v>0.71842994618696387</v>
      </c>
      <c r="L23" s="69">
        <v>38</v>
      </c>
      <c r="M23" s="69">
        <v>25</v>
      </c>
      <c r="N23" s="70">
        <f t="shared" si="2"/>
        <v>0.65789473684210531</v>
      </c>
      <c r="O23" s="21"/>
      <c r="P23" s="17">
        <v>26604.5</v>
      </c>
      <c r="Q23" s="18">
        <v>26891.19297800001</v>
      </c>
      <c r="R23" s="68">
        <f t="shared" si="3"/>
        <v>1.0107761084778895</v>
      </c>
      <c r="S23" s="71">
        <v>37</v>
      </c>
      <c r="T23" s="71">
        <v>19</v>
      </c>
      <c r="U23" s="70">
        <f t="shared" si="4"/>
        <v>0.51351351351351349</v>
      </c>
      <c r="W23" s="27"/>
      <c r="X23" s="25" cm="1">
        <f t="array" ref="X23">(_xlfn.IFS(D23&lt;70%,0,AND(D23&gt;=70%,D23&lt;=120%),D23*30%,D23&gt;120%,120%*30%))+(_xlfn.IFS(G23&lt;70%,0,AND(G23&gt;=70%,G23&lt;=120%),G23*30%,G23&gt;120%,120%*30%))+(_xlfn.IFS(K23&lt;70%,0,AND(K23&gt;=70%,K23&lt;=120%),K23*7.5%,K23&gt;120%,120%*7.5%))+(_xlfn.IFS(N23&lt;70%,0,AND(N23&gt;=70%,N23&lt;=120%),N23*7.5%,N23&gt;120%,120%*7.5%))+(_xlfn.IFS(R23&lt;70%,0,AND(R23&gt;=70%,R23&lt;=120%),R23*12.5%,R23&gt;120%,120%*12.5%))+(_xlfn.IFS(U23&lt;70%,0,AND(U23&gt;=70%,U23&lt;=120%),U23*12.5%,U23&gt;120%,120%*12.5%))</f>
        <v>0.18022925952375846</v>
      </c>
      <c r="Y23" s="29">
        <f t="shared" ref="Y23" si="10">X23*(W23/2)</f>
        <v>0</v>
      </c>
    </row>
    <row r="25" spans="1:26" x14ac:dyDescent="0.25">
      <c r="A25" s="2"/>
      <c r="B25" s="72" t="s">
        <v>17</v>
      </c>
      <c r="C25" s="73"/>
      <c r="D25" s="73"/>
      <c r="E25" s="73"/>
      <c r="F25" s="73"/>
      <c r="G25" s="74"/>
      <c r="H25" s="4"/>
      <c r="I25" s="75" t="s">
        <v>18</v>
      </c>
      <c r="J25" s="76"/>
      <c r="K25" s="76"/>
      <c r="L25" s="76"/>
      <c r="M25" s="76"/>
      <c r="N25" s="77"/>
      <c r="O25" s="4"/>
      <c r="P25" s="78" t="s">
        <v>19</v>
      </c>
      <c r="Q25" s="79"/>
      <c r="R25" s="79"/>
      <c r="S25" s="79"/>
      <c r="T25" s="79"/>
      <c r="U25" s="80"/>
      <c r="V25" s="3"/>
      <c r="W25" s="81" t="s">
        <v>21</v>
      </c>
      <c r="X25" s="82"/>
      <c r="Y25" s="83"/>
      <c r="Z25" s="3"/>
    </row>
    <row r="26" spans="1:26" x14ac:dyDescent="0.25">
      <c r="A26" s="20"/>
      <c r="B26" s="84" t="s">
        <v>15</v>
      </c>
      <c r="C26" s="85"/>
      <c r="D26" s="85"/>
      <c r="E26" s="85" t="s">
        <v>16</v>
      </c>
      <c r="F26" s="85"/>
      <c r="G26" s="86"/>
      <c r="H26" s="4"/>
      <c r="I26" s="84" t="s">
        <v>15</v>
      </c>
      <c r="J26" s="85"/>
      <c r="K26" s="85"/>
      <c r="L26" s="85" t="s">
        <v>16</v>
      </c>
      <c r="M26" s="85"/>
      <c r="N26" s="86"/>
      <c r="O26" s="4"/>
      <c r="P26" s="84" t="s">
        <v>15</v>
      </c>
      <c r="Q26" s="85"/>
      <c r="R26" s="85"/>
      <c r="S26" s="85" t="s">
        <v>16</v>
      </c>
      <c r="T26" s="85"/>
      <c r="U26" s="86"/>
      <c r="V26" s="3"/>
      <c r="W26" s="5"/>
      <c r="X26" s="6"/>
      <c r="Y26" s="7"/>
      <c r="Z26" s="3"/>
    </row>
    <row r="27" spans="1:26" x14ac:dyDescent="0.25">
      <c r="A27" s="19" t="s">
        <v>7</v>
      </c>
      <c r="B27" s="8" t="s">
        <v>12</v>
      </c>
      <c r="C27" s="9" t="s">
        <v>13</v>
      </c>
      <c r="D27" s="9" t="s">
        <v>14</v>
      </c>
      <c r="E27" s="9" t="s">
        <v>12</v>
      </c>
      <c r="F27" s="9" t="s">
        <v>13</v>
      </c>
      <c r="G27" s="10" t="s">
        <v>14</v>
      </c>
      <c r="H27" s="4"/>
      <c r="I27" s="8" t="s">
        <v>12</v>
      </c>
      <c r="J27" s="9" t="s">
        <v>13</v>
      </c>
      <c r="K27" s="9" t="s">
        <v>14</v>
      </c>
      <c r="L27" s="9" t="s">
        <v>12</v>
      </c>
      <c r="M27" s="9" t="s">
        <v>13</v>
      </c>
      <c r="N27" s="10" t="s">
        <v>14</v>
      </c>
      <c r="O27" s="4"/>
      <c r="P27" s="8" t="s">
        <v>12</v>
      </c>
      <c r="Q27" s="9" t="s">
        <v>13</v>
      </c>
      <c r="R27" s="9" t="s">
        <v>14</v>
      </c>
      <c r="S27" s="9" t="s">
        <v>12</v>
      </c>
      <c r="T27" s="9" t="s">
        <v>13</v>
      </c>
      <c r="U27" s="10" t="s">
        <v>14</v>
      </c>
      <c r="V27" s="3"/>
      <c r="W27" s="8" t="s">
        <v>1</v>
      </c>
      <c r="X27" s="9" t="s">
        <v>20</v>
      </c>
      <c r="Y27" s="10" t="s">
        <v>21</v>
      </c>
      <c r="Z27" s="3"/>
    </row>
    <row r="28" spans="1:26" x14ac:dyDescent="0.25">
      <c r="A28" t="s">
        <v>33</v>
      </c>
      <c r="B28" s="15">
        <f>SUM(B4,B6,B8,B14,B20,B9,B12,B21)</f>
        <v>5021067.9400000004</v>
      </c>
      <c r="C28" s="16">
        <f>SUM(C4,C6,C8,C14,C20,C9,C12,C21)</f>
        <v>3882747.0804829989</v>
      </c>
      <c r="D28" s="11">
        <f>IFERROR(C28/B28,0)</f>
        <v>0.7732910860558877</v>
      </c>
      <c r="E28" s="30">
        <f>SUM(E4,E6,E8,E14,E20,E9,E12,E21)</f>
        <v>767</v>
      </c>
      <c r="F28" s="30">
        <f>SUM(F4,F6,F8,F14,F20,F9,F12,F21)</f>
        <v>624</v>
      </c>
      <c r="G28" s="12">
        <f>IFERROR(F28/E28,0)</f>
        <v>0.81355932203389836</v>
      </c>
      <c r="I28" s="15">
        <f>SUM(I4,I6,I8,I14,I20,I9,I12,I21)</f>
        <v>707757.91</v>
      </c>
      <c r="J28" s="16">
        <f>SUM(J4,J6,J8,J14,J20,J9,J12,J21)</f>
        <v>475572.45207599993</v>
      </c>
      <c r="K28" s="11">
        <f>IFERROR(J28/I28,0)</f>
        <v>0.6719422635290645</v>
      </c>
      <c r="L28" s="30">
        <f>SUM(L4,L6,L8,L14,L20,L9,L12,L21)</f>
        <v>438</v>
      </c>
      <c r="M28" s="30">
        <f>SUM(M4,M6,M8,M14,M20,M9,M12,M21)</f>
        <v>442</v>
      </c>
      <c r="N28" s="12">
        <f>IFERROR(M28/L28,0)</f>
        <v>1.0091324200913243</v>
      </c>
      <c r="P28" s="15">
        <f>SUM(P4,P6,P8,P14,P20,P9,P12,P21)</f>
        <v>323583.80000000005</v>
      </c>
      <c r="Q28" s="16">
        <f>SUM(Q4,Q6,Q8,Q14,Q20,Q9,Q12,Q21)</f>
        <v>358247.60856999998</v>
      </c>
      <c r="R28" s="11">
        <f>IFERROR(Q28/P28,0)</f>
        <v>1.1071246724032535</v>
      </c>
      <c r="S28" s="30">
        <f>SUM(S4,S6,S8,S14,S20,S9,S12,S21)</f>
        <v>387</v>
      </c>
      <c r="T28" s="30">
        <f>SUM(T4,T6,T8,T14,T20,T9,T12,T21)</f>
        <v>402</v>
      </c>
      <c r="U28" s="12">
        <f>IFERROR(T28/S28,0)</f>
        <v>1.0387596899224807</v>
      </c>
      <c r="W28" s="22"/>
      <c r="X28" s="23" cm="1">
        <f t="array" ref="X28">(_xlfn.IFS(D28&lt;70%,0,AND(D28&gt;=70%,D28&lt;=120%),D28*30%,D28&gt;120%,120%*30%))+(_xlfn.IFS(G28&lt;70%,0,AND(G28&gt;=70%,G28&lt;=120%),G28*30%,G28&gt;120%,120%*30%))+(_xlfn.IFS(K28&lt;70%,0,AND(K28&gt;=70%,K28&lt;=120%),K28*7.5%,K28&gt;120%,120%*7.5%))+(_xlfn.IFS(N28&lt;70%,0,AND(N28&gt;=70%,N28&lt;=120%),N28*7.5%,N28&gt;120%,120%*7.5%))+(_xlfn.IFS(R28&lt;70%,0,AND(R28&gt;=70%,R28&lt;=120%),R28*12.5%,R28&gt;120%,120%*12.5%))+(_xlfn.IFS(U28&lt;70%,0,AND(U28&gt;=70%,U28&lt;=120%),U28*12.5%,U28&gt;120%,120%*12.5%))</f>
        <v>0.81997559922450192</v>
      </c>
      <c r="Y28" s="28">
        <f t="shared" ref="Y28:Y29" si="11">X28*(W28/2)</f>
        <v>0</v>
      </c>
    </row>
    <row r="29" spans="1:26" x14ac:dyDescent="0.25">
      <c r="A29" t="s">
        <v>43</v>
      </c>
      <c r="B29" s="17">
        <f>SUM(B7,B15,B10,B13,B23,B16)</f>
        <v>5753275.5300000003</v>
      </c>
      <c r="C29" s="18">
        <f>SUM(C7,C15,C10,C13,C23,C16)</f>
        <v>3611199.4334120019</v>
      </c>
      <c r="D29" s="13">
        <f t="shared" ref="D29" si="12">IFERROR(C29/B29,0)</f>
        <v>0.6276771231590923</v>
      </c>
      <c r="E29" s="31">
        <f>SUM(E7,E15,E10,E13,E23,E16)</f>
        <v>574</v>
      </c>
      <c r="F29" s="31">
        <f>SUM(F7,F15,F10,F13,F23,F16)</f>
        <v>409</v>
      </c>
      <c r="G29" s="14">
        <f t="shared" ref="G29" si="13">IFERROR(F29/E29,0)</f>
        <v>0.71254355400696867</v>
      </c>
      <c r="I29" s="17">
        <f>SUM(I7,I15,I10,I13,I23,I16)</f>
        <v>670404.09</v>
      </c>
      <c r="J29" s="18">
        <f>SUM(J7,J15,J10,J13,J23,J16)</f>
        <v>352634.33146199991</v>
      </c>
      <c r="K29" s="13">
        <f t="shared" ref="K29" si="14">IFERROR(J29/I29,0)</f>
        <v>0.52600265529704615</v>
      </c>
      <c r="L29" s="31">
        <f>SUM(L7,L15,L10,L13,L23,L16)</f>
        <v>293</v>
      </c>
      <c r="M29" s="31">
        <f>SUM(M7,M15,M10,M13,M23,M16)</f>
        <v>255</v>
      </c>
      <c r="N29" s="14">
        <f t="shared" ref="N29" si="15">IFERROR(M29/L29,0)</f>
        <v>0.87030716723549484</v>
      </c>
      <c r="P29" s="17">
        <f>SUM(P7,P15,P10,P13,P23,P16)</f>
        <v>330216.19</v>
      </c>
      <c r="Q29" s="18">
        <f>SUM(Q7,Q15,Q10,Q13,Q23,Q16)</f>
        <v>362752.74562200013</v>
      </c>
      <c r="R29" s="13">
        <f t="shared" ref="R29" si="16">IFERROR(Q29/P29,0)</f>
        <v>1.0985310733007976</v>
      </c>
      <c r="S29" s="31">
        <f>SUM(S7,S15,S10,S13,S23,S16)</f>
        <v>278</v>
      </c>
      <c r="T29" s="31">
        <f>SUM(T7,T15,T10,T13,T23,T16)</f>
        <v>248</v>
      </c>
      <c r="U29" s="14">
        <f t="shared" ref="U29" si="17">IFERROR(T29/S29,0)</f>
        <v>0.8920863309352518</v>
      </c>
      <c r="W29" s="24"/>
      <c r="X29" s="25" cm="1">
        <f t="array" ref="X29">(_xlfn.IFS(D29&lt;70%,0,AND(D29&gt;=70%,D29&lt;=120%),D29*30%,D29&gt;120%,120%*30%))+(_xlfn.IFS(G29&lt;70%,0,AND(G29&gt;=70%,G29&lt;=120%),G29*30%,G29&gt;120%,120%*30%))+(_xlfn.IFS(K29&lt;70%,0,AND(K29&gt;=70%,K29&lt;=120%),K29*7.5%,K29&gt;120%,120%*7.5%))+(_xlfn.IFS(N29&lt;70%,0,AND(N29&gt;=70%,N29&lt;=120%),N29*7.5%,N29&gt;120%,120%*7.5%))+(_xlfn.IFS(R29&lt;70%,0,AND(R29&gt;=70%,R29&lt;=120%),R29*12.5%,R29&gt;120%,120%*12.5%))+(_xlfn.IFS(U29&lt;70%,0,AND(U29&gt;=70%,U29&lt;=120%),U29*12.5%,U29&gt;120%,120%*12.5%))</f>
        <v>0.52786327927425891</v>
      </c>
      <c r="Y29" s="29">
        <f t="shared" si="11"/>
        <v>0</v>
      </c>
    </row>
    <row r="30" spans="1:26" x14ac:dyDescent="0.25">
      <c r="B30" s="16"/>
      <c r="C30" s="16"/>
      <c r="D30" s="21"/>
      <c r="E30" s="30"/>
      <c r="F30" s="30"/>
      <c r="G30" s="21"/>
      <c r="I30" s="16"/>
      <c r="J30" s="16"/>
      <c r="K30" s="21"/>
      <c r="L30" s="30"/>
      <c r="M30" s="30"/>
      <c r="N30" s="21"/>
      <c r="P30" s="16"/>
      <c r="Q30" s="16"/>
      <c r="R30" s="21"/>
      <c r="S30" s="30"/>
      <c r="T30" s="30"/>
      <c r="U30" s="21"/>
      <c r="X30" s="39"/>
      <c r="Y30" s="40"/>
    </row>
    <row r="31" spans="1:26" x14ac:dyDescent="0.25">
      <c r="A31" s="2"/>
      <c r="B31" s="72" t="s">
        <v>17</v>
      </c>
      <c r="C31" s="73"/>
      <c r="D31" s="73"/>
      <c r="E31" s="73"/>
      <c r="F31" s="73"/>
      <c r="G31" s="74"/>
      <c r="H31" s="4"/>
      <c r="I31" s="75" t="s">
        <v>18</v>
      </c>
      <c r="J31" s="76"/>
      <c r="K31" s="76"/>
      <c r="L31" s="76"/>
      <c r="M31" s="76"/>
      <c r="N31" s="77"/>
      <c r="O31" s="4"/>
      <c r="P31" s="78" t="s">
        <v>19</v>
      </c>
      <c r="Q31" s="79"/>
      <c r="R31" s="79"/>
      <c r="S31" s="79"/>
      <c r="T31" s="79"/>
      <c r="U31" s="80"/>
      <c r="V31" s="3"/>
      <c r="W31" s="81" t="s">
        <v>21</v>
      </c>
      <c r="X31" s="82"/>
      <c r="Y31" s="83"/>
      <c r="Z31" s="3"/>
    </row>
    <row r="32" spans="1:26" x14ac:dyDescent="0.25">
      <c r="A32" s="20"/>
      <c r="B32" s="84" t="s">
        <v>15</v>
      </c>
      <c r="C32" s="85"/>
      <c r="D32" s="85"/>
      <c r="E32" s="85" t="s">
        <v>16</v>
      </c>
      <c r="F32" s="85"/>
      <c r="G32" s="86"/>
      <c r="H32" s="4"/>
      <c r="I32" s="84" t="s">
        <v>15</v>
      </c>
      <c r="J32" s="85"/>
      <c r="K32" s="85"/>
      <c r="L32" s="85" t="s">
        <v>16</v>
      </c>
      <c r="M32" s="85"/>
      <c r="N32" s="86"/>
      <c r="O32" s="4"/>
      <c r="P32" s="84" t="s">
        <v>15</v>
      </c>
      <c r="Q32" s="85"/>
      <c r="R32" s="85"/>
      <c r="S32" s="85" t="s">
        <v>16</v>
      </c>
      <c r="T32" s="85"/>
      <c r="U32" s="86"/>
      <c r="V32" s="3"/>
      <c r="W32" s="5"/>
      <c r="X32" s="6"/>
      <c r="Y32" s="7"/>
      <c r="Z32" s="3"/>
    </row>
    <row r="33" spans="1:26" x14ac:dyDescent="0.25">
      <c r="A33" s="19" t="s">
        <v>39</v>
      </c>
      <c r="B33" s="8" t="s">
        <v>12</v>
      </c>
      <c r="C33" s="9" t="s">
        <v>13</v>
      </c>
      <c r="D33" s="9" t="s">
        <v>14</v>
      </c>
      <c r="E33" s="9" t="s">
        <v>12</v>
      </c>
      <c r="F33" s="9" t="s">
        <v>13</v>
      </c>
      <c r="G33" s="10" t="s">
        <v>14</v>
      </c>
      <c r="H33" s="4"/>
      <c r="I33" s="8" t="s">
        <v>12</v>
      </c>
      <c r="J33" s="9" t="s">
        <v>13</v>
      </c>
      <c r="K33" s="9" t="s">
        <v>14</v>
      </c>
      <c r="L33" s="9" t="s">
        <v>12</v>
      </c>
      <c r="M33" s="9" t="s">
        <v>13</v>
      </c>
      <c r="N33" s="10" t="s">
        <v>14</v>
      </c>
      <c r="O33" s="4"/>
      <c r="P33" s="8" t="s">
        <v>12</v>
      </c>
      <c r="Q33" s="9" t="s">
        <v>13</v>
      </c>
      <c r="R33" s="9" t="s">
        <v>14</v>
      </c>
      <c r="S33" s="9" t="s">
        <v>12</v>
      </c>
      <c r="T33" s="9" t="s">
        <v>13</v>
      </c>
      <c r="U33" s="10" t="s">
        <v>14</v>
      </c>
      <c r="V33" s="3"/>
      <c r="W33" s="8" t="s">
        <v>1</v>
      </c>
      <c r="X33" s="9" t="s">
        <v>20</v>
      </c>
      <c r="Y33" s="10" t="s">
        <v>21</v>
      </c>
      <c r="Z33" s="3"/>
    </row>
    <row r="34" spans="1:26" x14ac:dyDescent="0.25">
      <c r="A34" t="s">
        <v>51</v>
      </c>
      <c r="B34" s="61">
        <v>10636705.189999999</v>
      </c>
      <c r="C34" s="40">
        <v>11727253.219999995</v>
      </c>
      <c r="D34" s="11">
        <v>1.1025268643362669</v>
      </c>
      <c r="E34" s="1">
        <v>1310</v>
      </c>
      <c r="F34" s="1">
        <v>1070</v>
      </c>
      <c r="G34" s="59">
        <v>0.81679389312977102</v>
      </c>
      <c r="I34" s="55">
        <v>1458285.3</v>
      </c>
      <c r="J34" s="40">
        <v>1036457.9899999999</v>
      </c>
      <c r="K34" s="21">
        <v>0.71073745994696635</v>
      </c>
      <c r="L34" s="1">
        <v>688</v>
      </c>
      <c r="M34" s="1">
        <v>662</v>
      </c>
      <c r="N34" s="59">
        <v>0.96220930232558144</v>
      </c>
      <c r="P34" s="55">
        <v>868533.82</v>
      </c>
      <c r="Q34" s="40">
        <v>599951.72999999986</v>
      </c>
      <c r="R34" s="21">
        <v>0.69076380928954484</v>
      </c>
      <c r="S34" s="1">
        <v>651</v>
      </c>
      <c r="T34" s="1">
        <v>590</v>
      </c>
      <c r="U34" s="59">
        <v>0.90629800307219666</v>
      </c>
      <c r="W34" s="54"/>
      <c r="Y34" s="53"/>
    </row>
    <row r="35" spans="1:26" x14ac:dyDescent="0.25">
      <c r="A35" t="s">
        <v>52</v>
      </c>
      <c r="B35" s="61">
        <f>SUM(B4,B6,B7,B8,B9,B10,B12,B13,B14,B15,B16,B20,B21,B22,B23)</f>
        <v>14850982.470000001</v>
      </c>
      <c r="C35" s="40">
        <f>SUM(C4,C6,C7,C8,C9,C10,C12,C13,C14,C15,C16,C20,C21,C22,C23)</f>
        <v>11019367.376295004</v>
      </c>
      <c r="D35" s="56">
        <f>C35/B35</f>
        <v>0.74199585101893961</v>
      </c>
      <c r="E35" s="1">
        <f t="shared" ref="E35:F35" si="18">SUM(E4,E6,E7,E8,E9,E10,E12,E13,E14,E15,E16,E20,E21,E22,E23)</f>
        <v>1341</v>
      </c>
      <c r="F35" s="1">
        <f t="shared" si="18"/>
        <v>1062</v>
      </c>
      <c r="G35" s="59">
        <f>F35/E35</f>
        <v>0.79194630872483218</v>
      </c>
      <c r="I35" s="61">
        <f t="shared" ref="I35:J35" si="19">SUM(I4,I6,I7,I8,I9,I10,I12,I13,I14,I15,I16,I20,I21,I22,I23)</f>
        <v>1645594</v>
      </c>
      <c r="J35" s="40">
        <f t="shared" si="19"/>
        <v>1023801.3407379996</v>
      </c>
      <c r="K35" s="56">
        <f>J35/I35</f>
        <v>0.62214698202472762</v>
      </c>
      <c r="L35" s="1">
        <f t="shared" ref="L35:M35" si="20">SUM(L4,L6,L7,L8,L9,L10,L12,L13,L14,L15,L16,L20,L21,L22,L23)</f>
        <v>731</v>
      </c>
      <c r="M35" s="1">
        <f t="shared" si="20"/>
        <v>717</v>
      </c>
      <c r="N35" s="59">
        <f>M35/L35</f>
        <v>0.98084815321477425</v>
      </c>
      <c r="P35" s="61">
        <f t="shared" ref="P35:Q35" si="21">SUM(P4,P6,P7,P8,P9,P10,P12,P13,P14,P15,P16,P20,P21,P22,P23)</f>
        <v>855103.99</v>
      </c>
      <c r="Q35" s="40">
        <f t="shared" si="21"/>
        <v>953507.95779200003</v>
      </c>
      <c r="R35" s="56">
        <f>Q35/P35</f>
        <v>1.115078363500561</v>
      </c>
      <c r="S35" s="1">
        <f t="shared" ref="S35:T35" si="22">SUM(S4,S6,S7,S8,S9,S10,S12,S13,S14,S15,S16,S20,S21,S22,S23)</f>
        <v>665</v>
      </c>
      <c r="T35" s="1">
        <f t="shared" si="22"/>
        <v>672</v>
      </c>
      <c r="U35" s="59">
        <f>T35/S35</f>
        <v>1.0105263157894737</v>
      </c>
      <c r="W35" s="54"/>
      <c r="Y35" s="53"/>
    </row>
    <row r="36" spans="1:26" x14ac:dyDescent="0.25">
      <c r="A36" t="s">
        <v>53</v>
      </c>
      <c r="B36" s="15"/>
      <c r="C36" s="16"/>
      <c r="D36" s="56"/>
      <c r="G36" s="59"/>
      <c r="I36" s="60"/>
      <c r="J36" s="58"/>
      <c r="K36" s="21"/>
      <c r="N36" s="59"/>
      <c r="P36" s="57"/>
      <c r="Q36" s="58"/>
      <c r="R36" s="21"/>
      <c r="U36" s="59"/>
      <c r="W36" s="54"/>
      <c r="Y36" s="53"/>
    </row>
    <row r="37" spans="1:26" x14ac:dyDescent="0.25">
      <c r="A37" s="19" t="s">
        <v>40</v>
      </c>
      <c r="B37" s="62"/>
      <c r="C37" s="44"/>
      <c r="D37" s="45"/>
      <c r="E37" s="46"/>
      <c r="F37" s="46"/>
      <c r="G37" s="47"/>
      <c r="H37" s="4"/>
      <c r="I37" s="43"/>
      <c r="J37" s="44"/>
      <c r="K37" s="45"/>
      <c r="L37" s="46"/>
      <c r="M37" s="46"/>
      <c r="N37" s="47"/>
      <c r="O37" s="4"/>
      <c r="P37" s="43"/>
      <c r="Q37" s="44"/>
      <c r="R37" s="45"/>
      <c r="S37" s="46"/>
      <c r="T37" s="46"/>
      <c r="U37" s="47"/>
      <c r="W37" s="22"/>
      <c r="X37" s="23" cm="1">
        <f t="array" ref="X37">(_xlfn.IFS(D37&lt;70%,0,AND(D37&gt;=70%,D37&lt;=120%),D37*30%,D37&gt;120%,120%*30%))+(_xlfn.IFS(G37&lt;70%,0,AND(G37&gt;=70%,G37&lt;=120%),G37*30%,G37&gt;120%,120%*30%))+(_xlfn.IFS(K37&lt;70%,0,AND(K37&gt;=70%,K37&lt;=120%),K37*7.5%,K37&gt;120%,120%*7.5%))+(_xlfn.IFS(N37&lt;70%,0,AND(N37&gt;=70%,N37&lt;=120%),N37*7.5%,N37&gt;120%,120%*7.5%))+(_xlfn.IFS(R37&lt;70%,0,AND(R37&gt;=70%,R37&lt;=120%),R37*12.5%,R37&gt;120%,120%*12.5%))+(_xlfn.IFS(U37&lt;70%,0,AND(U37&gt;=70%,U37&lt;=120%),U37*12.5%,U37&gt;120%,120%*12.5%))</f>
        <v>0</v>
      </c>
      <c r="Y37" s="28">
        <f>X37*(W37)</f>
        <v>0</v>
      </c>
    </row>
    <row r="38" spans="1:26" x14ac:dyDescent="0.25">
      <c r="A38" t="s">
        <v>51</v>
      </c>
      <c r="B38" s="61">
        <v>4312061.83</v>
      </c>
      <c r="C38" s="40">
        <v>5004242.209999999</v>
      </c>
      <c r="D38" s="11">
        <v>1.1605219051323294</v>
      </c>
      <c r="E38" s="1">
        <v>0</v>
      </c>
      <c r="F38" s="1">
        <v>119</v>
      </c>
      <c r="G38" s="59"/>
      <c r="I38" s="55">
        <v>275028.95</v>
      </c>
      <c r="J38" s="40">
        <v>309519.23999999993</v>
      </c>
      <c r="K38" s="21">
        <v>1.1254060345283647</v>
      </c>
      <c r="L38" s="1">
        <v>0</v>
      </c>
      <c r="M38" s="1">
        <v>60</v>
      </c>
      <c r="N38" s="59"/>
      <c r="P38" s="55">
        <v>165211.49</v>
      </c>
      <c r="Q38" s="40">
        <v>360616.2</v>
      </c>
      <c r="R38" s="21">
        <v>2.1827549645608793</v>
      </c>
      <c r="S38" s="1">
        <v>0</v>
      </c>
      <c r="T38" s="1">
        <v>56</v>
      </c>
      <c r="U38" s="59"/>
      <c r="W38" s="54"/>
      <c r="Y38" s="53"/>
    </row>
    <row r="39" spans="1:26" x14ac:dyDescent="0.25">
      <c r="A39" t="s">
        <v>52</v>
      </c>
      <c r="B39" s="60">
        <f>SUM(B5,B11,B17,B18,B19)</f>
        <v>4538032.9999980005</v>
      </c>
      <c r="C39" s="58">
        <f>SUM(C5,C11,C17,C18,C19)</f>
        <v>5184319.4997419976</v>
      </c>
      <c r="D39" s="56">
        <f>C39/B39</f>
        <v>1.142415557521129</v>
      </c>
      <c r="E39" s="1">
        <f t="shared" ref="E39:F39" si="23">SUM(E5,E11,E17,E18,E19)</f>
        <v>0</v>
      </c>
      <c r="F39" s="1">
        <f t="shared" si="23"/>
        <v>141</v>
      </c>
      <c r="G39" s="59"/>
      <c r="I39" s="57">
        <f t="shared" ref="I39:J39" si="24">SUM(I5,I11,I17,I18,I19)</f>
        <v>277595.78879999998</v>
      </c>
      <c r="J39" s="58">
        <f t="shared" si="24"/>
        <v>219267.23746399995</v>
      </c>
      <c r="K39" s="21">
        <f>J39/I39</f>
        <v>0.78987955261084986</v>
      </c>
      <c r="L39" s="1">
        <f t="shared" ref="L39:M39" si="25">SUM(L5,L11,L17,L18,L19)</f>
        <v>0</v>
      </c>
      <c r="M39" s="1">
        <f t="shared" si="25"/>
        <v>45</v>
      </c>
      <c r="N39" s="59"/>
      <c r="P39" s="57">
        <f t="shared" ref="P39:Q39" si="26">SUM(P5,P11,P17,P18,P19)</f>
        <v>246829.99999569997</v>
      </c>
      <c r="Q39" s="58">
        <f t="shared" si="26"/>
        <v>356058.45511400001</v>
      </c>
      <c r="R39" s="21">
        <f>Q39/P39</f>
        <v>1.4425250379621719</v>
      </c>
      <c r="S39" s="1">
        <f t="shared" ref="S39:T39" si="27">SUM(S5,S11,S17,S18,S19)</f>
        <v>0</v>
      </c>
      <c r="T39" s="1">
        <f t="shared" si="27"/>
        <v>65</v>
      </c>
      <c r="U39" s="59"/>
      <c r="W39" s="54"/>
      <c r="Y39" s="53"/>
    </row>
    <row r="40" spans="1:26" x14ac:dyDescent="0.25">
      <c r="A40" t="s">
        <v>53</v>
      </c>
      <c r="B40" s="60"/>
      <c r="C40" s="58"/>
      <c r="D40" s="56"/>
      <c r="G40" s="59"/>
      <c r="I40" s="57"/>
      <c r="J40" s="58"/>
      <c r="K40" s="21"/>
      <c r="N40" s="59"/>
      <c r="P40" s="57"/>
      <c r="Q40" s="58"/>
      <c r="R40" s="21"/>
      <c r="U40" s="59"/>
      <c r="W40" s="54"/>
      <c r="Y40" s="53"/>
    </row>
    <row r="41" spans="1:26" x14ac:dyDescent="0.25">
      <c r="A41" s="19" t="s">
        <v>41</v>
      </c>
      <c r="B41" s="48"/>
      <c r="C41" s="49"/>
      <c r="D41" s="50"/>
      <c r="E41" s="51"/>
      <c r="F41" s="51"/>
      <c r="G41" s="52"/>
      <c r="H41" s="4"/>
      <c r="I41" s="48"/>
      <c r="J41" s="49"/>
      <c r="K41" s="50"/>
      <c r="L41" s="51"/>
      <c r="M41" s="51"/>
      <c r="N41" s="52"/>
      <c r="O41" s="4"/>
      <c r="P41" s="48"/>
      <c r="Q41" s="49"/>
      <c r="R41" s="50"/>
      <c r="S41" s="51"/>
      <c r="T41" s="51"/>
      <c r="U41" s="52"/>
      <c r="W41" s="24"/>
      <c r="X41" s="25" cm="1">
        <f t="array" ref="X41">(_xlfn.IFS(D41&lt;70%,0,AND(D41&gt;=70%,D41&lt;=120%),D41*60%,D41&gt;120%,120%*60%))+(_xlfn.IFS(K41&lt;70%,0,AND(K41&gt;=70%,K41&lt;=120%),K41*15%,K41&gt;120%,120%*15%))+(_xlfn.IFS(R41&lt;70%,0,AND(R41&gt;=70%,R41&lt;=120%),R41*25%,R41&gt;120%,120%*25%))</f>
        <v>0</v>
      </c>
      <c r="Y41" s="29">
        <f>X41*(W41)</f>
        <v>0</v>
      </c>
    </row>
    <row r="42" spans="1:26" x14ac:dyDescent="0.25">
      <c r="B42" s="16"/>
      <c r="C42" s="16"/>
      <c r="D42" s="21"/>
      <c r="E42" s="30"/>
      <c r="F42" s="30"/>
      <c r="G42" s="21"/>
      <c r="I42" s="16"/>
      <c r="J42" s="16"/>
      <c r="K42" s="21"/>
      <c r="L42" s="30"/>
      <c r="M42" s="30"/>
      <c r="N42" s="21"/>
      <c r="P42" s="16"/>
      <c r="Q42" s="16"/>
      <c r="R42" s="21"/>
      <c r="S42" s="30"/>
      <c r="T42" s="30"/>
      <c r="U42" s="21"/>
      <c r="X42" s="39"/>
      <c r="Y42" s="40"/>
    </row>
    <row r="43" spans="1:26" x14ac:dyDescent="0.25">
      <c r="A43" s="2"/>
      <c r="B43" s="93" t="s">
        <v>17</v>
      </c>
      <c r="C43" s="94"/>
      <c r="D43" s="95"/>
      <c r="E43" s="4"/>
      <c r="F43" s="4"/>
      <c r="G43" s="4"/>
      <c r="H43" s="4"/>
      <c r="I43" s="96" t="s">
        <v>18</v>
      </c>
      <c r="J43" s="97"/>
      <c r="K43" s="98"/>
      <c r="L43" s="4"/>
      <c r="M43" s="4"/>
      <c r="N43" s="4"/>
      <c r="O43" s="4"/>
      <c r="P43" s="87" t="s">
        <v>19</v>
      </c>
      <c r="Q43" s="88"/>
      <c r="R43" s="89"/>
      <c r="S43" s="4"/>
      <c r="T43" s="4"/>
      <c r="U43" s="4"/>
      <c r="V43" s="3"/>
      <c r="W43" s="90" t="s">
        <v>21</v>
      </c>
      <c r="X43" s="91"/>
      <c r="Y43" s="92"/>
    </row>
    <row r="44" spans="1:26" x14ac:dyDescent="0.25">
      <c r="A44" s="20"/>
      <c r="B44" s="84" t="s">
        <v>15</v>
      </c>
      <c r="C44" s="85"/>
      <c r="D44" s="86"/>
      <c r="E44" s="4"/>
      <c r="F44" s="4"/>
      <c r="G44" s="4"/>
      <c r="H44" s="4"/>
      <c r="I44" s="84" t="s">
        <v>15</v>
      </c>
      <c r="J44" s="85"/>
      <c r="K44" s="86"/>
      <c r="L44" s="4"/>
      <c r="M44" s="4"/>
      <c r="N44" s="4"/>
      <c r="O44" s="4"/>
      <c r="P44" s="84" t="s">
        <v>15</v>
      </c>
      <c r="Q44" s="85"/>
      <c r="R44" s="86"/>
      <c r="S44" s="4"/>
      <c r="T44" s="4"/>
      <c r="U44" s="4"/>
      <c r="V44" s="3"/>
      <c r="W44" s="5"/>
      <c r="X44" s="6"/>
      <c r="Y44" s="7"/>
    </row>
    <row r="45" spans="1:26" x14ac:dyDescent="0.25">
      <c r="A45" s="19" t="s">
        <v>24</v>
      </c>
      <c r="B45" s="8" t="s">
        <v>12</v>
      </c>
      <c r="C45" s="9" t="s">
        <v>13</v>
      </c>
      <c r="D45" s="10" t="s">
        <v>14</v>
      </c>
      <c r="E45" s="4"/>
      <c r="F45" s="4"/>
      <c r="G45" s="4"/>
      <c r="H45" s="4"/>
      <c r="I45" s="8" t="s">
        <v>12</v>
      </c>
      <c r="J45" s="9" t="s">
        <v>13</v>
      </c>
      <c r="K45" s="10" t="s">
        <v>14</v>
      </c>
      <c r="L45" s="4"/>
      <c r="M45" s="4"/>
      <c r="N45" s="4"/>
      <c r="O45" s="4"/>
      <c r="P45" s="8" t="s">
        <v>12</v>
      </c>
      <c r="Q45" s="9" t="s">
        <v>13</v>
      </c>
      <c r="R45" s="10" t="s">
        <v>14</v>
      </c>
      <c r="S45" s="4"/>
      <c r="T45" s="4"/>
      <c r="U45" s="4"/>
      <c r="V45" s="3"/>
      <c r="W45" s="8" t="s">
        <v>1</v>
      </c>
      <c r="X45" s="9" t="s">
        <v>20</v>
      </c>
      <c r="Y45" s="10" t="s">
        <v>21</v>
      </c>
    </row>
    <row r="46" spans="1:26" x14ac:dyDescent="0.25">
      <c r="A46" t="s">
        <v>9</v>
      </c>
      <c r="B46" s="15">
        <f>SUM($B$4:$B$23)</f>
        <v>19389015.469998002</v>
      </c>
      <c r="C46" s="16">
        <f>SUM($C$4:$C$23)</f>
        <v>16203686.876036998</v>
      </c>
      <c r="D46" s="12">
        <f t="shared" ref="D46:D50" si="28">IFERROR(C46/B46,0)</f>
        <v>0.83571478402862232</v>
      </c>
      <c r="E46" s="30"/>
      <c r="F46" s="30"/>
      <c r="G46" s="21"/>
      <c r="I46" s="15">
        <f>SUM($I$4:$I$23)</f>
        <v>1923189.7888</v>
      </c>
      <c r="J46" s="16">
        <f>SUM($J$4:$J$23)</f>
        <v>1243068.5782019999</v>
      </c>
      <c r="K46" s="12">
        <f t="shared" ref="K46:K50" si="29">IFERROR(J46/I46,0)</f>
        <v>0.64635772581635287</v>
      </c>
      <c r="L46" s="30"/>
      <c r="M46" s="30"/>
      <c r="N46" s="21"/>
      <c r="P46" s="15">
        <f>SUM($P$4:$P$23)</f>
        <v>1101933.9899957003</v>
      </c>
      <c r="Q46" s="16">
        <f>SUM($Q$4:$Q$23)</f>
        <v>1309566.4129059997</v>
      </c>
      <c r="R46" s="12">
        <f>IFERROR(Q46/P46,0)</f>
        <v>1.1884254635898013</v>
      </c>
      <c r="S46" s="30"/>
      <c r="T46" s="30"/>
      <c r="U46" s="21"/>
      <c r="W46" s="22"/>
      <c r="X46" s="23" cm="1">
        <f t="array" ref="X46">(_xlfn.IFS(D46&lt;70%,0,AND(D46&gt;=70%,D46&lt;=120%),D46*60%,D46&gt;120%,120%*60%))+(_xlfn.IFS(K46&lt;70%,0,AND(K46&gt;=70%,K46&lt;=120%),K46*15%,K46&gt;120%,120%*15%))+(_xlfn.IFS(R46&lt;70%,0,AND(R46&gt;=70%,R46&lt;=120%),R46*25%,R46&gt;120%,120%*25%))</f>
        <v>0.79853523631462364</v>
      </c>
      <c r="Y46" s="28">
        <f>X46*(W46/2)</f>
        <v>0</v>
      </c>
    </row>
    <row r="47" spans="1:26" x14ac:dyDescent="0.25">
      <c r="A47" t="s">
        <v>8</v>
      </c>
      <c r="B47" s="15">
        <f t="shared" ref="B47:B50" si="30">SUM($B$4:$B$23)</f>
        <v>19389015.469998002</v>
      </c>
      <c r="C47" s="16">
        <f t="shared" ref="C47:C50" si="31">SUM($C$4:$C$23)</f>
        <v>16203686.876036998</v>
      </c>
      <c r="D47" s="12">
        <f t="shared" si="28"/>
        <v>0.83571478402862232</v>
      </c>
      <c r="E47" s="30"/>
      <c r="F47" s="30"/>
      <c r="G47" s="21"/>
      <c r="I47" s="15">
        <f t="shared" ref="I47:I50" si="32">SUM($I$4:$I$23)</f>
        <v>1923189.7888</v>
      </c>
      <c r="J47" s="16">
        <f t="shared" ref="J47:J50" si="33">SUM($J$4:$J$23)</f>
        <v>1243068.5782019999</v>
      </c>
      <c r="K47" s="12">
        <f t="shared" si="29"/>
        <v>0.64635772581635287</v>
      </c>
      <c r="L47" s="30"/>
      <c r="M47" s="30"/>
      <c r="N47" s="21"/>
      <c r="P47" s="15">
        <f t="shared" ref="P47:P50" si="34">SUM($P$4:$P$23)</f>
        <v>1101933.9899957003</v>
      </c>
      <c r="Q47" s="16">
        <f t="shared" ref="Q47:Q50" si="35">SUM($Q$4:$Q$23)</f>
        <v>1309566.4129059997</v>
      </c>
      <c r="R47" s="12">
        <f t="shared" ref="R47:R50" si="36">IFERROR(Q47/P47,0)</f>
        <v>1.1884254635898013</v>
      </c>
      <c r="S47" s="30"/>
      <c r="T47" s="30"/>
      <c r="U47" s="21"/>
      <c r="W47" s="22"/>
      <c r="X47" s="23" cm="1">
        <f t="array" ref="X47">(_xlfn.IFS(D47&lt;70%,0,AND(D47&gt;=70%,D47&lt;=120%),D47*60%,D47&gt;120%,120%*60%))+(_xlfn.IFS(K47&lt;70%,0,AND(K47&gt;=70%,K47&lt;=120%),K47*15%,K47&gt;120%,120%*15%))+(_xlfn.IFS(R47&lt;70%,0,AND(R47&gt;=70%,R47&lt;=120%),R47*25%,R47&gt;120%,120%*25%))</f>
        <v>0.79853523631462364</v>
      </c>
      <c r="Y47" s="28">
        <f>X47*(W47/4)</f>
        <v>0</v>
      </c>
    </row>
    <row r="48" spans="1:26" x14ac:dyDescent="0.25">
      <c r="A48" t="s">
        <v>48</v>
      </c>
      <c r="B48" s="15">
        <f t="shared" si="30"/>
        <v>19389015.469998002</v>
      </c>
      <c r="C48" s="16">
        <f t="shared" si="31"/>
        <v>16203686.876036998</v>
      </c>
      <c r="D48" s="12">
        <f t="shared" si="28"/>
        <v>0.83571478402862232</v>
      </c>
      <c r="I48" s="15">
        <f t="shared" si="32"/>
        <v>1923189.7888</v>
      </c>
      <c r="J48" s="16">
        <f t="shared" si="33"/>
        <v>1243068.5782019999</v>
      </c>
      <c r="K48" s="12">
        <f t="shared" si="29"/>
        <v>0.64635772581635287</v>
      </c>
      <c r="P48" s="15">
        <f t="shared" si="34"/>
        <v>1101933.9899957003</v>
      </c>
      <c r="Q48" s="16">
        <f t="shared" si="35"/>
        <v>1309566.4129059997</v>
      </c>
      <c r="R48" s="12">
        <f t="shared" si="36"/>
        <v>1.1884254635898013</v>
      </c>
      <c r="U48" s="38"/>
      <c r="W48" s="22"/>
      <c r="X48" s="23" cm="1">
        <f t="array" ref="X48">(_xlfn.IFS(D48&lt;70%,0,AND(D48&gt;=70%,D48&lt;=120%),D48*60%,D48&gt;120%,120%*60%))+(_xlfn.IFS(K48&lt;70%,0,AND(K48&gt;=70%,K48&lt;=120%),K48*15%,K48&gt;120%,120%*15%))+(_xlfn.IFS(R48&lt;70%,0,AND(R48&gt;=70%,R48&lt;=120%),R48*25%,R48&gt;120%,120%*25%))</f>
        <v>0.79853523631462364</v>
      </c>
      <c r="Y48" s="28">
        <f>X48*(W48/4)</f>
        <v>0</v>
      </c>
    </row>
    <row r="49" spans="1:32" x14ac:dyDescent="0.25">
      <c r="A49" t="s">
        <v>42</v>
      </c>
      <c r="B49" s="15">
        <f t="shared" si="30"/>
        <v>19389015.469998002</v>
      </c>
      <c r="C49" s="16">
        <f t="shared" si="31"/>
        <v>16203686.876036998</v>
      </c>
      <c r="D49" s="12">
        <f t="shared" ref="D49" si="37">IFERROR(C49/B49,0)</f>
        <v>0.83571478402862232</v>
      </c>
      <c r="I49" s="15">
        <f t="shared" si="32"/>
        <v>1923189.7888</v>
      </c>
      <c r="J49" s="16">
        <f t="shared" si="33"/>
        <v>1243068.5782019999</v>
      </c>
      <c r="K49" s="12">
        <f t="shared" ref="K49" si="38">IFERROR(J49/I49,0)</f>
        <v>0.64635772581635287</v>
      </c>
      <c r="P49" s="15">
        <f t="shared" si="34"/>
        <v>1101933.9899957003</v>
      </c>
      <c r="Q49" s="16">
        <f t="shared" si="35"/>
        <v>1309566.4129059997</v>
      </c>
      <c r="R49" s="12">
        <f t="shared" ref="R49" si="39">IFERROR(Q49/P49,0)</f>
        <v>1.1884254635898013</v>
      </c>
      <c r="U49" s="38"/>
      <c r="W49" s="22"/>
      <c r="X49" s="23" cm="1">
        <f t="array" ref="X49">(_xlfn.IFS(D49&lt;70%,0,AND(D49&gt;=70%,D49&lt;=120%),D49*60%,D49&gt;120%,120%*60%))+(_xlfn.IFS(K49&lt;70%,0,AND(K49&gt;=70%,K49&lt;=120%),K49*15%,K49&gt;120%,120%*15%))+(_xlfn.IFS(R49&lt;70%,0,AND(R49&gt;=70%,R49&lt;=120%),R49*25%,R49&gt;120%,120%*25%))</f>
        <v>0.79853523631462364</v>
      </c>
      <c r="Y49" s="28">
        <f>X49*(W49/4)</f>
        <v>0</v>
      </c>
    </row>
    <row r="50" spans="1:32" x14ac:dyDescent="0.25">
      <c r="A50" t="s">
        <v>34</v>
      </c>
      <c r="B50" s="17">
        <f t="shared" si="30"/>
        <v>19389015.469998002</v>
      </c>
      <c r="C50" s="18">
        <f t="shared" si="31"/>
        <v>16203686.876036998</v>
      </c>
      <c r="D50" s="14">
        <f t="shared" si="28"/>
        <v>0.83571478402862232</v>
      </c>
      <c r="I50" s="17">
        <f t="shared" si="32"/>
        <v>1923189.7888</v>
      </c>
      <c r="J50" s="18">
        <f t="shared" si="33"/>
        <v>1243068.5782019999</v>
      </c>
      <c r="K50" s="14">
        <f t="shared" si="29"/>
        <v>0.64635772581635287</v>
      </c>
      <c r="P50" s="17">
        <f t="shared" si="34"/>
        <v>1101933.9899957003</v>
      </c>
      <c r="Q50" s="18">
        <f t="shared" si="35"/>
        <v>1309566.4129059997</v>
      </c>
      <c r="R50" s="14">
        <f t="shared" si="36"/>
        <v>1.1884254635898013</v>
      </c>
      <c r="U50" s="38"/>
      <c r="W50" s="24"/>
      <c r="X50" s="25" cm="1">
        <f t="array" ref="X50">(_xlfn.IFS(D50&lt;70%,0,AND(D50&gt;=70%,D50&lt;=120%),D50*60%,D50&gt;120%,120%*60%))+(_xlfn.IFS(K50&lt;70%,0,AND(K50&gt;=70%,K50&lt;=120%),K50*15%,K50&gt;120%,120%*15%))+(_xlfn.IFS(R50&lt;70%,0,AND(R50&gt;=70%,R50&lt;=120%),R50*25%,R50&gt;120%,120%*25%))</f>
        <v>0.79853523631462364</v>
      </c>
      <c r="Y50" s="29">
        <f>X50*(W50/4)</f>
        <v>0</v>
      </c>
    </row>
    <row r="52" spans="1:32" x14ac:dyDescent="0.25">
      <c r="A52" s="2"/>
      <c r="B52" s="72" t="s">
        <v>17</v>
      </c>
      <c r="C52" s="73"/>
      <c r="D52" s="74"/>
      <c r="E52" s="4"/>
      <c r="F52" s="4"/>
      <c r="G52" s="4"/>
      <c r="H52" s="4"/>
      <c r="I52" s="75" t="s">
        <v>18</v>
      </c>
      <c r="J52" s="76"/>
      <c r="K52" s="77"/>
      <c r="L52" s="4"/>
      <c r="M52" s="4"/>
      <c r="N52" s="4"/>
      <c r="O52" s="4"/>
      <c r="P52" s="78" t="s">
        <v>19</v>
      </c>
      <c r="Q52" s="79"/>
      <c r="R52" s="80"/>
      <c r="S52" s="4"/>
      <c r="T52" s="4"/>
      <c r="U52" s="4"/>
      <c r="V52" s="3"/>
      <c r="W52" s="81" t="s">
        <v>21</v>
      </c>
      <c r="X52" s="82"/>
      <c r="Y52" s="83"/>
    </row>
    <row r="53" spans="1:32" x14ac:dyDescent="0.25">
      <c r="A53" s="20"/>
      <c r="B53" s="84" t="s">
        <v>15</v>
      </c>
      <c r="C53" s="85"/>
      <c r="D53" s="86"/>
      <c r="E53" s="4"/>
      <c r="F53" s="4"/>
      <c r="G53" s="4"/>
      <c r="H53" s="4"/>
      <c r="I53" s="84" t="s">
        <v>15</v>
      </c>
      <c r="J53" s="85"/>
      <c r="K53" s="86"/>
      <c r="L53" s="4"/>
      <c r="M53" s="4"/>
      <c r="N53" s="4"/>
      <c r="O53" s="4"/>
      <c r="P53" s="84" t="s">
        <v>15</v>
      </c>
      <c r="Q53" s="85"/>
      <c r="R53" s="86"/>
      <c r="S53" s="4"/>
      <c r="T53" s="4"/>
      <c r="U53" s="4"/>
      <c r="V53" s="3"/>
      <c r="W53" s="5"/>
      <c r="X53" s="6"/>
      <c r="Y53" s="7"/>
    </row>
    <row r="54" spans="1:32" x14ac:dyDescent="0.25">
      <c r="A54" s="19" t="s">
        <v>28</v>
      </c>
      <c r="B54" s="8" t="s">
        <v>12</v>
      </c>
      <c r="C54" s="9" t="s">
        <v>13</v>
      </c>
      <c r="D54" s="10" t="s">
        <v>14</v>
      </c>
      <c r="E54" s="4"/>
      <c r="F54" s="4"/>
      <c r="G54" s="4"/>
      <c r="H54" s="4"/>
      <c r="I54" s="8" t="s">
        <v>12</v>
      </c>
      <c r="J54" s="9" t="s">
        <v>13</v>
      </c>
      <c r="K54" s="10" t="s">
        <v>14</v>
      </c>
      <c r="L54" s="4"/>
      <c r="M54" s="4"/>
      <c r="N54" s="4"/>
      <c r="O54" s="4"/>
      <c r="P54" s="8" t="s">
        <v>12</v>
      </c>
      <c r="Q54" s="9" t="s">
        <v>13</v>
      </c>
      <c r="R54" s="10" t="s">
        <v>14</v>
      </c>
      <c r="S54" s="4"/>
      <c r="T54" s="4"/>
      <c r="U54" s="4"/>
      <c r="V54" s="3"/>
      <c r="W54" s="8" t="s">
        <v>1</v>
      </c>
      <c r="X54" s="9" t="s">
        <v>20</v>
      </c>
      <c r="Y54" s="10" t="s">
        <v>21</v>
      </c>
    </row>
    <row r="55" spans="1:32" x14ac:dyDescent="0.25">
      <c r="A55" t="s">
        <v>29</v>
      </c>
      <c r="B55" s="15">
        <f t="shared" ref="B55:B58" si="40">SUM($B$4:$B$23)</f>
        <v>19389015.469998002</v>
      </c>
      <c r="C55" s="16">
        <f t="shared" ref="C55:C58" si="41">SUM($C$4:$C$23)</f>
        <v>16203686.876036998</v>
      </c>
      <c r="D55" s="12">
        <f t="shared" ref="D55:D58" si="42">IFERROR(C55/B55,0)</f>
        <v>0.83571478402862232</v>
      </c>
      <c r="E55" s="30"/>
      <c r="F55" s="30"/>
      <c r="G55" s="21"/>
      <c r="I55" s="15">
        <f t="shared" ref="I55:I58" si="43">SUM($I$4:$I$23)</f>
        <v>1923189.7888</v>
      </c>
      <c r="J55" s="16">
        <f t="shared" ref="J55:J58" si="44">SUM($J$4:$J$23)</f>
        <v>1243068.5782019999</v>
      </c>
      <c r="K55" s="12">
        <f t="shared" ref="K55:K58" si="45">IFERROR(J55/I55,0)</f>
        <v>0.64635772581635287</v>
      </c>
      <c r="L55" s="30"/>
      <c r="M55" s="30"/>
      <c r="N55" s="21"/>
      <c r="P55" s="15">
        <f t="shared" ref="P55:P58" si="46">SUM($P$4:$P$23)</f>
        <v>1101933.9899957003</v>
      </c>
      <c r="Q55" s="16">
        <f t="shared" ref="Q55:Q58" si="47">SUM($Q$4:$Q$23)</f>
        <v>1309566.4129059997</v>
      </c>
      <c r="R55" s="12">
        <f>IFERROR(Q55/P55,0)</f>
        <v>1.1884254635898013</v>
      </c>
      <c r="S55" s="30"/>
      <c r="T55" s="30"/>
      <c r="U55" s="21"/>
      <c r="W55" s="22"/>
      <c r="X55" s="23" cm="1">
        <f t="array" ref="X55">(_xlfn.IFS(D55&lt;70%,0,AND(D55&gt;=70%,D55&lt;=120%),D55*60%,D55&gt;120%,120%*60%))+(_xlfn.IFS(K55&lt;70%,0,AND(K55&gt;=70%,K55&lt;=120%),K55*15%,K55&gt;120%,120%*15%))+(_xlfn.IFS(R55&lt;70%,0,AND(R55&gt;=70%,R55&lt;=120%),R55*25%,R55&gt;120%,120%*25%))</f>
        <v>0.79853523631462364</v>
      </c>
      <c r="Y55" s="28">
        <f>X55*(W55*0.15)</f>
        <v>0</v>
      </c>
    </row>
    <row r="56" spans="1:32" x14ac:dyDescent="0.25">
      <c r="A56" t="s">
        <v>35</v>
      </c>
      <c r="B56" s="15">
        <f t="shared" si="40"/>
        <v>19389015.469998002</v>
      </c>
      <c r="C56" s="16">
        <f t="shared" si="41"/>
        <v>16203686.876036998</v>
      </c>
      <c r="D56" s="12">
        <f t="shared" si="42"/>
        <v>0.83571478402862232</v>
      </c>
      <c r="E56" s="30"/>
      <c r="F56" s="30"/>
      <c r="G56" s="21"/>
      <c r="I56" s="15">
        <f t="shared" si="43"/>
        <v>1923189.7888</v>
      </c>
      <c r="J56" s="16">
        <f t="shared" si="44"/>
        <v>1243068.5782019999</v>
      </c>
      <c r="K56" s="12">
        <f t="shared" ref="K56" si="48">IFERROR(J56/I56,0)</f>
        <v>0.64635772581635287</v>
      </c>
      <c r="L56" s="30"/>
      <c r="M56" s="30"/>
      <c r="N56" s="21"/>
      <c r="P56" s="15">
        <f t="shared" si="46"/>
        <v>1101933.9899957003</v>
      </c>
      <c r="Q56" s="16">
        <f t="shared" si="47"/>
        <v>1309566.4129059997</v>
      </c>
      <c r="R56" s="12">
        <f>IFERROR(Q56/P56,0)</f>
        <v>1.1884254635898013</v>
      </c>
      <c r="S56" s="30"/>
      <c r="T56" s="30"/>
      <c r="U56" s="21"/>
      <c r="W56" s="22"/>
      <c r="X56" s="23" cm="1">
        <f t="array" ref="X56">(_xlfn.IFS(D56&lt;70%,0,AND(D56&gt;=70%,D56&lt;=120%),D56*60%,D56&gt;120%,120%*60%))+(_xlfn.IFS(K56&lt;70%,0,AND(K56&gt;=70%,K56&lt;=120%),K56*15%,K56&gt;120%,120%*15%))+(_xlfn.IFS(R56&lt;70%,0,AND(R56&gt;=70%,R56&lt;=120%),R56*25%,R56&gt;120%,120%*25%))</f>
        <v>0.79853523631462364</v>
      </c>
      <c r="Y56" s="28">
        <f>X56*(W56*0.15)</f>
        <v>0</v>
      </c>
    </row>
    <row r="57" spans="1:32" x14ac:dyDescent="0.25">
      <c r="A57" t="s">
        <v>44</v>
      </c>
      <c r="B57" s="15">
        <f t="shared" si="40"/>
        <v>19389015.469998002</v>
      </c>
      <c r="C57" s="16">
        <f t="shared" si="41"/>
        <v>16203686.876036998</v>
      </c>
      <c r="D57" s="12">
        <f t="shared" ref="D57" si="49">IFERROR(C57/B57,0)</f>
        <v>0.83571478402862232</v>
      </c>
      <c r="E57" s="30"/>
      <c r="F57" s="30"/>
      <c r="G57" s="21"/>
      <c r="I57" s="15">
        <f t="shared" si="43"/>
        <v>1923189.7888</v>
      </c>
      <c r="J57" s="16">
        <f t="shared" si="44"/>
        <v>1243068.5782019999</v>
      </c>
      <c r="K57" s="12">
        <f t="shared" ref="K57" si="50">IFERROR(J57/I57,0)</f>
        <v>0.64635772581635287</v>
      </c>
      <c r="L57" s="30"/>
      <c r="M57" s="30"/>
      <c r="N57" s="21"/>
      <c r="P57" s="15">
        <f t="shared" si="46"/>
        <v>1101933.9899957003</v>
      </c>
      <c r="Q57" s="16">
        <f t="shared" si="47"/>
        <v>1309566.4129059997</v>
      </c>
      <c r="R57" s="12">
        <f>IFERROR(Q57/P57,0)</f>
        <v>1.1884254635898013</v>
      </c>
      <c r="S57" s="30"/>
      <c r="T57" s="30"/>
      <c r="U57" s="21"/>
      <c r="W57" s="22"/>
      <c r="X57" s="23" cm="1">
        <f t="array" ref="X57">(_xlfn.IFS(D57&lt;70%,0,AND(D57&gt;=70%,D57&lt;=120%),D57*60%,D57&gt;120%,120%*60%))+(_xlfn.IFS(K57&lt;70%,0,AND(K57&gt;=70%,K57&lt;=120%),K57*15%,K57&gt;120%,120%*15%))+(_xlfn.IFS(R57&lt;70%,0,AND(R57&gt;=70%,R57&lt;=120%),R57*25%,R57&gt;120%,120%*25%))</f>
        <v>0.79853523631462364</v>
      </c>
      <c r="Y57" s="28">
        <f>X57*(W57*0.15)</f>
        <v>0</v>
      </c>
    </row>
    <row r="58" spans="1:32" x14ac:dyDescent="0.25">
      <c r="A58" t="s">
        <v>30</v>
      </c>
      <c r="B58" s="17">
        <f t="shared" si="40"/>
        <v>19389015.469998002</v>
      </c>
      <c r="C58" s="18">
        <f t="shared" si="41"/>
        <v>16203686.876036998</v>
      </c>
      <c r="D58" s="14">
        <f t="shared" si="42"/>
        <v>0.83571478402862232</v>
      </c>
      <c r="E58" s="30"/>
      <c r="F58" s="30"/>
      <c r="G58" s="21"/>
      <c r="I58" s="17">
        <f t="shared" si="43"/>
        <v>1923189.7888</v>
      </c>
      <c r="J58" s="18">
        <f t="shared" si="44"/>
        <v>1243068.5782019999</v>
      </c>
      <c r="K58" s="14">
        <f t="shared" si="45"/>
        <v>0.64635772581635287</v>
      </c>
      <c r="L58" s="30"/>
      <c r="M58" s="30"/>
      <c r="N58" s="21"/>
      <c r="P58" s="17">
        <f t="shared" si="46"/>
        <v>1101933.9899957003</v>
      </c>
      <c r="Q58" s="18">
        <f t="shared" si="47"/>
        <v>1309566.4129059997</v>
      </c>
      <c r="R58" s="14">
        <f t="shared" ref="R58" si="51">IFERROR(Q58/P58,0)</f>
        <v>1.1884254635898013</v>
      </c>
      <c r="S58" s="30"/>
      <c r="T58" s="30"/>
      <c r="U58" s="21"/>
      <c r="W58" s="24"/>
      <c r="X58" s="25" cm="1">
        <f t="array" ref="X58">(_xlfn.IFS(D58&lt;70%,0,AND(D58&gt;=70%,D58&lt;=120%),D58*60%,D58&gt;120%,120%*60%))+(_xlfn.IFS(K58&lt;70%,0,AND(K58&gt;=70%,K58&lt;=120%),K58*15%,K58&gt;120%,120%*15%))+(_xlfn.IFS(R58&lt;70%,0,AND(R58&gt;=70%,R58&lt;=120%),R58*25%,R58&gt;120%,120%*25%))</f>
        <v>0.79853523631462364</v>
      </c>
      <c r="Y58" s="29">
        <f>X58*(W58*0.15)</f>
        <v>0</v>
      </c>
      <c r="AF58" s="41"/>
    </row>
  </sheetData>
  <sheetProtection selectLockedCells="1"/>
  <mergeCells count="44">
    <mergeCell ref="W31:Y31"/>
    <mergeCell ref="B32:D32"/>
    <mergeCell ref="E32:G32"/>
    <mergeCell ref="I32:K32"/>
    <mergeCell ref="L32:N32"/>
    <mergeCell ref="P32:R32"/>
    <mergeCell ref="S32:U32"/>
    <mergeCell ref="S26:U26"/>
    <mergeCell ref="B26:D26"/>
    <mergeCell ref="P43:R43"/>
    <mergeCell ref="W43:Y43"/>
    <mergeCell ref="B44:D44"/>
    <mergeCell ref="I44:K44"/>
    <mergeCell ref="P44:R44"/>
    <mergeCell ref="E26:G26"/>
    <mergeCell ref="I26:K26"/>
    <mergeCell ref="L26:N26"/>
    <mergeCell ref="P26:R26"/>
    <mergeCell ref="B43:D43"/>
    <mergeCell ref="I43:K43"/>
    <mergeCell ref="B31:G31"/>
    <mergeCell ref="I31:N31"/>
    <mergeCell ref="P31:U31"/>
    <mergeCell ref="B1:G1"/>
    <mergeCell ref="I1:N1"/>
    <mergeCell ref="P1:U1"/>
    <mergeCell ref="W1:Y1"/>
    <mergeCell ref="B25:G25"/>
    <mergeCell ref="I25:N25"/>
    <mergeCell ref="P25:U25"/>
    <mergeCell ref="W25:Y25"/>
    <mergeCell ref="B2:D2"/>
    <mergeCell ref="E2:G2"/>
    <mergeCell ref="I2:K2"/>
    <mergeCell ref="L2:N2"/>
    <mergeCell ref="P2:R2"/>
    <mergeCell ref="S2:U2"/>
    <mergeCell ref="B52:D52"/>
    <mergeCell ref="I52:K52"/>
    <mergeCell ref="P52:R52"/>
    <mergeCell ref="W52:Y52"/>
    <mergeCell ref="B53:D53"/>
    <mergeCell ref="I53:K53"/>
    <mergeCell ref="P53:R53"/>
  </mergeCells>
  <conditionalFormatting sqref="AD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ignoredErrors>
    <ignoredError sqref="X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D727-07D2-43E5-8EB5-375D326340AB}">
  <dimension ref="A1:AD7"/>
  <sheetViews>
    <sheetView showGridLines="0" tabSelected="1" zoomScaleNormal="100" workbookViewId="0">
      <pane xSplit="1" topLeftCell="B1" activePane="topRight" state="frozen"/>
      <selection pane="topRight" activeCell="C5" sqref="C5"/>
    </sheetView>
  </sheetViews>
  <sheetFormatPr defaultRowHeight="15" outlineLevelCol="2" x14ac:dyDescent="0.25"/>
  <cols>
    <col min="1" max="1" width="19.42578125" bestFit="1" customWidth="1"/>
    <col min="2" max="2" width="17" style="1" customWidth="1" outlineLevel="2"/>
    <col min="3" max="3" width="16.7109375" style="1" customWidth="1" outlineLevel="2"/>
    <col min="4" max="4" width="5.5703125" style="1" customWidth="1" outlineLevel="2"/>
    <col min="5" max="5" width="5.42578125" style="1" customWidth="1" outlineLevel="2"/>
    <col min="6" max="6" width="9.7109375" style="1" customWidth="1" outlineLevel="2"/>
    <col min="7" max="7" width="5.5703125" style="1" customWidth="1" outlineLevel="2"/>
    <col min="8" max="8" width="1.42578125" style="1" customWidth="1" outlineLevel="2"/>
    <col min="9" max="10" width="15.85546875" style="1" customWidth="1" outlineLevel="2"/>
    <col min="11" max="11" width="6.28515625" style="1" customWidth="1" outlineLevel="2"/>
    <col min="12" max="12" width="5.42578125" style="1" customWidth="1" outlineLevel="2"/>
    <col min="13" max="13" width="9.7109375" style="1" customWidth="1" outlineLevel="2"/>
    <col min="14" max="14" width="5.5703125" style="1" customWidth="1" outlineLevel="2"/>
    <col min="15" max="15" width="1.42578125" style="1" customWidth="1" outlineLevel="2"/>
    <col min="16" max="16" width="15.85546875" customWidth="1" outlineLevel="2"/>
    <col min="17" max="17" width="14.42578125" customWidth="1" outlineLevel="2"/>
    <col min="18" max="18" width="5.5703125" customWidth="1" outlineLevel="2"/>
    <col min="19" max="19" width="5.42578125" style="1" customWidth="1" outlineLevel="2"/>
    <col min="20" max="20" width="9.7109375" style="1" customWidth="1" outlineLevel="2"/>
    <col min="21" max="21" width="5.5703125" customWidth="1" outlineLevel="2"/>
    <col min="22" max="22" width="1.42578125" customWidth="1" outlineLevel="2"/>
    <col min="23" max="23" width="15" style="1" customWidth="1" outlineLevel="1"/>
    <col min="24" max="24" width="12.85546875" style="1" customWidth="1" outlineLevel="1"/>
    <col min="25" max="25" width="15" style="1" customWidth="1" outlineLevel="1"/>
    <col min="26" max="26" width="1.42578125" customWidth="1" outlineLevel="1"/>
    <col min="27" max="27" width="10" hidden="1" customWidth="1" outlineLevel="2"/>
    <col min="28" max="28" width="10.28515625" hidden="1" customWidth="1" outlineLevel="2"/>
    <col min="29" max="29" width="9.140625" hidden="1" customWidth="1" outlineLevel="2"/>
    <col min="30" max="30" width="1.42578125" hidden="1" customWidth="1"/>
    <col min="31" max="31" width="12.7109375" bestFit="1" customWidth="1"/>
    <col min="32" max="32" width="12.42578125" bestFit="1" customWidth="1"/>
  </cols>
  <sheetData>
    <row r="1" spans="1:30" s="3" customFormat="1" x14ac:dyDescent="0.25">
      <c r="A1" s="2"/>
      <c r="B1" s="72" t="s">
        <v>17</v>
      </c>
      <c r="C1" s="73"/>
      <c r="D1" s="73"/>
      <c r="E1" s="73"/>
      <c r="F1" s="73"/>
      <c r="G1" s="74"/>
      <c r="H1" s="4"/>
      <c r="I1" s="75" t="s">
        <v>18</v>
      </c>
      <c r="J1" s="76"/>
      <c r="K1" s="76"/>
      <c r="L1" s="76"/>
      <c r="M1" s="76"/>
      <c r="N1" s="77"/>
      <c r="O1" s="4"/>
      <c r="P1" s="78" t="s">
        <v>19</v>
      </c>
      <c r="Q1" s="79"/>
      <c r="R1" s="79"/>
      <c r="S1" s="79"/>
      <c r="T1" s="79"/>
      <c r="U1" s="80"/>
      <c r="W1" s="81" t="s">
        <v>21</v>
      </c>
      <c r="X1" s="82"/>
      <c r="Y1" s="83"/>
      <c r="AA1" s="81" t="s">
        <v>21</v>
      </c>
      <c r="AB1" s="82"/>
      <c r="AC1" s="83"/>
    </row>
    <row r="2" spans="1:30" s="3" customFormat="1" x14ac:dyDescent="0.25">
      <c r="A2" s="20"/>
      <c r="B2" s="84" t="s">
        <v>15</v>
      </c>
      <c r="C2" s="85"/>
      <c r="D2" s="85"/>
      <c r="E2" s="85" t="s">
        <v>16</v>
      </c>
      <c r="F2" s="85"/>
      <c r="G2" s="86"/>
      <c r="H2" s="4"/>
      <c r="I2" s="84" t="s">
        <v>15</v>
      </c>
      <c r="J2" s="85"/>
      <c r="K2" s="85"/>
      <c r="L2" s="85" t="s">
        <v>16</v>
      </c>
      <c r="M2" s="85"/>
      <c r="N2" s="86"/>
      <c r="O2" s="4"/>
      <c r="P2" s="84" t="s">
        <v>15</v>
      </c>
      <c r="Q2" s="85"/>
      <c r="R2" s="85"/>
      <c r="S2" s="85" t="s">
        <v>16</v>
      </c>
      <c r="T2" s="85"/>
      <c r="U2" s="86"/>
      <c r="W2" s="5"/>
      <c r="X2" s="6"/>
      <c r="Y2" s="7"/>
      <c r="AA2" s="5"/>
      <c r="AB2" s="6"/>
      <c r="AC2" s="7"/>
    </row>
    <row r="3" spans="1:30" s="3" customFormat="1" x14ac:dyDescent="0.25">
      <c r="A3" s="19" t="s">
        <v>0</v>
      </c>
      <c r="B3" s="8" t="s">
        <v>12</v>
      </c>
      <c r="C3" s="9" t="s">
        <v>13</v>
      </c>
      <c r="D3" s="9" t="s">
        <v>14</v>
      </c>
      <c r="E3" s="9" t="s">
        <v>12</v>
      </c>
      <c r="F3" s="9" t="s">
        <v>13</v>
      </c>
      <c r="G3" s="10" t="s">
        <v>14</v>
      </c>
      <c r="H3" s="4"/>
      <c r="I3" s="8" t="s">
        <v>12</v>
      </c>
      <c r="J3" s="9" t="s">
        <v>13</v>
      </c>
      <c r="K3" s="9" t="s">
        <v>14</v>
      </c>
      <c r="L3" s="9" t="s">
        <v>12</v>
      </c>
      <c r="M3" s="9" t="s">
        <v>13</v>
      </c>
      <c r="N3" s="10" t="s">
        <v>14</v>
      </c>
      <c r="O3" s="4"/>
      <c r="P3" s="8" t="s">
        <v>12</v>
      </c>
      <c r="Q3" s="9" t="s">
        <v>13</v>
      </c>
      <c r="R3" s="9" t="s">
        <v>14</v>
      </c>
      <c r="S3" s="9" t="s">
        <v>12</v>
      </c>
      <c r="T3" s="9" t="s">
        <v>13</v>
      </c>
      <c r="U3" s="10" t="s">
        <v>14</v>
      </c>
      <c r="W3" s="8" t="s">
        <v>1</v>
      </c>
      <c r="X3" s="9" t="s">
        <v>20</v>
      </c>
      <c r="Y3" s="10" t="s">
        <v>21</v>
      </c>
      <c r="AA3" s="8" t="s">
        <v>22</v>
      </c>
      <c r="AB3" s="9" t="s">
        <v>23</v>
      </c>
      <c r="AC3" s="10" t="s">
        <v>14</v>
      </c>
      <c r="AD3" s="4"/>
    </row>
    <row r="4" spans="1:30" x14ac:dyDescent="0.25">
      <c r="A4" t="s">
        <v>31</v>
      </c>
      <c r="B4" s="15">
        <v>772157.51</v>
      </c>
      <c r="C4" s="16">
        <v>558347.59562099958</v>
      </c>
      <c r="D4" s="11">
        <f>IFERROR(C4/B4,0)</f>
        <v>0.72310064771758753</v>
      </c>
      <c r="E4" s="42">
        <v>127</v>
      </c>
      <c r="F4" s="42">
        <v>107</v>
      </c>
      <c r="G4" s="12">
        <f t="shared" ref="G4:G6" si="0">IFERROR(F4/E4,0)</f>
        <v>0.84251968503937003</v>
      </c>
      <c r="H4" s="21"/>
      <c r="I4" s="15">
        <v>100504.89</v>
      </c>
      <c r="J4" s="16">
        <v>50668.116156000047</v>
      </c>
      <c r="K4" s="11">
        <f t="shared" ref="K4:K6" si="1">IFERROR(J4/I4,0)</f>
        <v>0.50413583016706998</v>
      </c>
      <c r="L4" s="42">
        <v>82</v>
      </c>
      <c r="M4" s="42">
        <v>50</v>
      </c>
      <c r="N4" s="12">
        <f t="shared" ref="N4:N6" si="2">IFERROR(M4/L4,0)</f>
        <v>0.6097560975609756</v>
      </c>
      <c r="O4" s="21"/>
      <c r="P4" s="15">
        <v>54618.84</v>
      </c>
      <c r="Q4" s="16">
        <v>32062.285434000103</v>
      </c>
      <c r="R4" s="11">
        <f t="shared" ref="R4:R6" si="3">IFERROR(Q4/P4,0)</f>
        <v>0.58701879120831024</v>
      </c>
      <c r="S4" s="1">
        <v>66</v>
      </c>
      <c r="T4" s="1">
        <v>44</v>
      </c>
      <c r="U4" s="12">
        <f t="shared" ref="U4:U6" si="4">IFERROR(T4/S4,0)</f>
        <v>0.66666666666666663</v>
      </c>
      <c r="W4" s="26"/>
      <c r="X4" s="23" cm="1">
        <f t="array" ref="X4">(_xlfn.IFS(D4&lt;70%,0,AND(D4&gt;=70%,D4&lt;=120%),D4*30%,D4&gt;120%,120%*30%))+(_xlfn.IFS(G4&lt;70%,0,AND(G4&gt;=70%,G4&lt;=120%),G4*30%,G4&gt;120%,120%*30%))+(_xlfn.IFS(K4&lt;70%,0,AND(K4&gt;=70%,K4&lt;=120%),K4*7.5%,K4&gt;120%,120%*7.5%))+(_xlfn.IFS(N4&lt;70%,0,AND(N4&gt;=70%,N4&lt;=120%),N4*7.5%,N4&gt;120%,120%*7.5%))+(_xlfn.IFS(R4&lt;70%,0,AND(R4&gt;=70%,R4&lt;=120%),R4*12.5%,R4&gt;120%,120%*12.5%))+(_xlfn.IFS(U4&lt;70%,0,AND(U4&gt;=70%,U4&lt;=120%),U4*12.5%,U4&gt;120%,120%*12.5%))</f>
        <v>0.4696860998270872</v>
      </c>
      <c r="Y4" s="28">
        <f t="shared" ref="Y4" si="5">X4*(W4/2)</f>
        <v>0</v>
      </c>
      <c r="AA4" s="34">
        <f>'Apuração Inicial'!X4</f>
        <v>0.4696860998270872</v>
      </c>
      <c r="AB4" s="35">
        <f>X4</f>
        <v>0.4696860998270872</v>
      </c>
      <c r="AC4" s="36">
        <f>AB4/AA4-1</f>
        <v>0</v>
      </c>
    </row>
    <row r="5" spans="1:30" x14ac:dyDescent="0.25">
      <c r="A5" t="s">
        <v>5</v>
      </c>
      <c r="B5" s="15">
        <v>1615428.48596</v>
      </c>
      <c r="C5" s="16">
        <v>1928811.0849339999</v>
      </c>
      <c r="D5" s="11">
        <f t="shared" ref="D5:D6" si="6">IFERROR(C5/B5,0)</f>
        <v>1.1939934832755943</v>
      </c>
      <c r="E5" s="42">
        <v>0</v>
      </c>
      <c r="F5" s="42">
        <v>58</v>
      </c>
      <c r="G5" s="12">
        <f t="shared" si="0"/>
        <v>0</v>
      </c>
      <c r="H5" s="21"/>
      <c r="I5" s="15">
        <v>78421.625599999999</v>
      </c>
      <c r="J5" s="16">
        <v>38342.520000000004</v>
      </c>
      <c r="K5" s="11">
        <f t="shared" si="1"/>
        <v>0.48892789082913379</v>
      </c>
      <c r="L5" s="42">
        <v>0</v>
      </c>
      <c r="M5" s="42">
        <v>16</v>
      </c>
      <c r="N5" s="12">
        <f t="shared" si="2"/>
        <v>0</v>
      </c>
      <c r="O5" s="21"/>
      <c r="P5" s="15">
        <v>78094.501508999994</v>
      </c>
      <c r="Q5" s="16">
        <v>125360.92105399999</v>
      </c>
      <c r="R5" s="11">
        <f t="shared" si="3"/>
        <v>1.6052464466983349</v>
      </c>
      <c r="S5" s="1">
        <v>0</v>
      </c>
      <c r="T5" s="1">
        <v>24</v>
      </c>
      <c r="U5" s="12">
        <f t="shared" si="4"/>
        <v>0</v>
      </c>
      <c r="W5" s="26"/>
      <c r="X5" s="23" cm="1">
        <f t="array" ref="X5">(_xlfn.IFS(D5&lt;70%,0,AND(D5&gt;=70%,D5&lt;=120%),D5*60%,D5&gt;120%,120%*60%))+(_xlfn.IFS(K5&lt;70%,0,AND(K5&gt;=70%,K5&lt;=120%),K5*15%,K5&gt;120%,120%*15%))+(_xlfn.IFS(R5&lt;70%,0,AND(R5&gt;=70%,R5&lt;=120%),R5*25%,R5&gt;120%,120%*25%))</f>
        <v>1.0163960899653566</v>
      </c>
      <c r="Y5" s="28">
        <f>X5*(W5/2)</f>
        <v>0</v>
      </c>
      <c r="AA5" s="34">
        <f>'Apuração Inicial'!X5</f>
        <v>1.0163960899653566</v>
      </c>
      <c r="AB5" s="35">
        <f t="shared" ref="AB5:AB6" si="7">X5</f>
        <v>1.0163960899653566</v>
      </c>
      <c r="AC5" s="36">
        <f t="shared" ref="AC5:AC6" si="8">AB5/AA5-1</f>
        <v>0</v>
      </c>
    </row>
    <row r="6" spans="1:30" x14ac:dyDescent="0.25">
      <c r="A6" t="s">
        <v>11</v>
      </c>
      <c r="B6" s="15">
        <v>948485.9</v>
      </c>
      <c r="C6" s="16">
        <v>950202.38404200017</v>
      </c>
      <c r="D6" s="11">
        <f t="shared" si="6"/>
        <v>1.001809709603485</v>
      </c>
      <c r="E6" s="42">
        <v>136</v>
      </c>
      <c r="F6" s="42">
        <v>140</v>
      </c>
      <c r="G6" s="12">
        <f t="shared" si="0"/>
        <v>1.0294117647058822</v>
      </c>
      <c r="H6" s="21"/>
      <c r="I6" s="15">
        <v>135107.5</v>
      </c>
      <c r="J6" s="16">
        <v>99074.621279999992</v>
      </c>
      <c r="K6" s="11">
        <f t="shared" si="1"/>
        <v>0.73330215776326257</v>
      </c>
      <c r="L6" s="42">
        <v>87</v>
      </c>
      <c r="M6" s="42">
        <v>120</v>
      </c>
      <c r="N6" s="12">
        <f t="shared" si="2"/>
        <v>1.3793103448275863</v>
      </c>
      <c r="O6" s="21"/>
      <c r="P6" s="15">
        <v>59444.37</v>
      </c>
      <c r="Q6" s="16">
        <v>77965.305654999931</v>
      </c>
      <c r="R6" s="11">
        <f t="shared" si="3"/>
        <v>1.3115675320471885</v>
      </c>
      <c r="S6" s="1">
        <v>71</v>
      </c>
      <c r="T6" s="1">
        <v>118</v>
      </c>
      <c r="U6" s="12">
        <f t="shared" si="4"/>
        <v>1.6619718309859155</v>
      </c>
      <c r="W6" s="26"/>
      <c r="X6" s="23" cm="1">
        <f t="array" ref="X6">(_xlfn.IFS(D6&lt;70%,0,AND(D6&gt;=70%,D6&lt;=120%),D6*30%,D6&gt;120%,120%*30%))+(_xlfn.IFS(G6&lt;70%,0,AND(G6&gt;=70%,G6&lt;=120%),G6*30%,G6&gt;120%,120%*30%))+(_xlfn.IFS(K6&lt;70%,0,AND(K6&gt;=70%,K6&lt;=120%),K6*7.5%,K6&gt;120%,120%*7.5%))+(_xlfn.IFS(N6&lt;70%,0,AND(N6&gt;=70%,N6&lt;=120%),N6*7.5%,N6&gt;120%,120%*7.5%))+(_xlfn.IFS(R6&lt;70%,0,AND(R6&gt;=70%,R6&lt;=120%),R6*12.5%,R6&gt;120%,120%*12.5%))+(_xlfn.IFS(U6&lt;70%,0,AND(U6&gt;=70%,U6&lt;=120%),U6*12.5%,U6&gt;120%,120%*12.5%))</f>
        <v>1.0543641041250549</v>
      </c>
      <c r="Y6" s="28">
        <f t="shared" ref="Y6" si="9">X6*(W6/2)</f>
        <v>0</v>
      </c>
      <c r="AA6" s="34">
        <f>'Apuração Inicial'!X6</f>
        <v>1.0543641041250549</v>
      </c>
      <c r="AB6" s="35">
        <f t="shared" si="7"/>
        <v>1.0543641041250549</v>
      </c>
      <c r="AC6" s="36">
        <f t="shared" si="8"/>
        <v>0</v>
      </c>
    </row>
    <row r="7" spans="1:30" ht="3" customHeight="1" x14ac:dyDescent="0.25">
      <c r="P7" s="1"/>
      <c r="Q7" s="1"/>
      <c r="R7" s="1"/>
      <c r="U7" s="1"/>
      <c r="Z7" s="3"/>
    </row>
  </sheetData>
  <sheetProtection selectLockedCells="1"/>
  <mergeCells count="11">
    <mergeCell ref="AA1:AC1"/>
    <mergeCell ref="B1:G1"/>
    <mergeCell ref="I1:N1"/>
    <mergeCell ref="P1:U1"/>
    <mergeCell ref="W1:Y1"/>
    <mergeCell ref="S2:U2"/>
    <mergeCell ref="B2:D2"/>
    <mergeCell ref="E2:G2"/>
    <mergeCell ref="I2:K2"/>
    <mergeCell ref="L2:N2"/>
    <mergeCell ref="P2:R2"/>
  </mergeCells>
  <conditionalFormatting sqref="AC4:AC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Apuração Inicial</vt:lpstr>
      <vt:lpstr>Apuração 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Neves</dc:creator>
  <cp:lastModifiedBy>Paulo Rodrigues</cp:lastModifiedBy>
  <dcterms:created xsi:type="dcterms:W3CDTF">2024-05-21T14:06:45Z</dcterms:created>
  <dcterms:modified xsi:type="dcterms:W3CDTF">2025-12-16T17:43:20Z</dcterms:modified>
</cp:coreProperties>
</file>