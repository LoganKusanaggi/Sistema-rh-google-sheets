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o.rodrigues\Documents\Rodrigues\11. Automação Google Sheets\templates\"/>
    </mc:Choice>
  </mc:AlternateContent>
  <xr:revisionPtr revIDLastSave="0" documentId="13_ncr:1_{1550ED05-0F80-468F-A96E-E5D55CBCA2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ágina14" sheetId="2" r:id="rId1"/>
  </sheets>
  <calcPr calcId="191029"/>
  <customWorkbookViews>
    <customWorkbookView name="Filtro 2" guid="{B3412BFF-8E92-4B96-9B14-EBC15F534955}" maximized="1" windowWidth="0" windowHeight="0" activeSheetId="0"/>
    <customWorkbookView name="Filtro 1" guid="{2F83DE60-6623-4425-8959-D7FAD0F01E5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 s="1"/>
  <c r="O5" i="2"/>
  <c r="N5" i="2"/>
  <c r="K5" i="2"/>
  <c r="L5" i="2" s="1"/>
  <c r="O4" i="2"/>
  <c r="N4" i="2"/>
  <c r="K4" i="2"/>
  <c r="L4" i="2" s="1"/>
  <c r="O3" i="2"/>
  <c r="N3" i="2"/>
</calcChain>
</file>

<file path=xl/sharedStrings.xml><?xml version="1.0" encoding="utf-8"?>
<sst xmlns="http://schemas.openxmlformats.org/spreadsheetml/2006/main" count="37" uniqueCount="33">
  <si>
    <t>8111 (AMIL 2)</t>
  </si>
  <si>
    <t>313 (AMIL 2)</t>
  </si>
  <si>
    <t>370 (AMIL ODONTO 13)</t>
  </si>
  <si>
    <t>392 (AMIL ODONTO 13)</t>
  </si>
  <si>
    <t>NOME</t>
  </si>
  <si>
    <t>LOCAL</t>
  </si>
  <si>
    <t>ADMISSÃO</t>
  </si>
  <si>
    <t>SÓCIO</t>
  </si>
  <si>
    <t>SALÁRIO</t>
  </si>
  <si>
    <t>NOVO SALÁRIO</t>
  </si>
  <si>
    <t>CARGO</t>
  </si>
  <si>
    <t>DEPARTAMENTO</t>
  </si>
  <si>
    <t>CONVENIO ESCOLHIDO</t>
  </si>
  <si>
    <t>DN</t>
  </si>
  <si>
    <t>IDADE</t>
  </si>
  <si>
    <t>FAIXA ETÁRIA</t>
  </si>
  <si>
    <t>VL 100% AMIL</t>
  </si>
  <si>
    <t>VL EMPRESA AMIL</t>
  </si>
  <si>
    <t>VL FUNC. AMIL</t>
  </si>
  <si>
    <t>AMIL SAÚDE DEP</t>
  </si>
  <si>
    <t>ODONT. FUNC.</t>
  </si>
  <si>
    <t>ODONT. DEP.</t>
  </si>
  <si>
    <t>-</t>
  </si>
  <si>
    <t>TRADE MARKETING</t>
  </si>
  <si>
    <t>Matriz</t>
  </si>
  <si>
    <t>ANALISTA DE TRADE MARKETING PLENO</t>
  </si>
  <si>
    <t>ESTAGIÁRIA DE P&amp;D</t>
  </si>
  <si>
    <t>PRODUTOS</t>
  </si>
  <si>
    <t>ANALISTA COMERCIAL PLENO</t>
  </si>
  <si>
    <t>B2B GESTÃO DE CARTEIRA</t>
  </si>
  <si>
    <t xml:space="preserve">ANA </t>
  </si>
  <si>
    <t>BIA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</si>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</sst>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164" fontId="3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/>
    </xf>
    <xf numFmtId="14" fontId="5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2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4" fontId="5" fillId="2" borderId="1" xfId="0" applyNumberFormat="1" applyFont="1" applyFill="1" applyBorder="1" applyAlignment="1">
      <alignment horizontal="center" vertical="top"/>
    </xf>
    <xf numFmtId="0" fontId="6" fillId="0" borderId="2" xfId="0" quotePrefix="1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14" fontId="5" fillId="3" borderId="1" xfId="0" applyNumberFormat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"/>
  <sheetViews>
    <sheetView tabSelected="1" workbookViewId="0">
      <selection activeCell="L5" sqref="L5"/>
    </sheetView>
  </sheetViews>
  <sheetFormatPr defaultColWidth="12.5703125" defaultRowHeight="15.75" customHeight="1" x14ac:dyDescent="0.2"/>
  <cols>
    <col min="1" max="1" width="6.7109375" bestFit="1" customWidth="1"/>
    <col min="2" max="2" width="6.5703125" bestFit="1" customWidth="1"/>
    <col min="3" max="3" width="10.7109375" bestFit="1" customWidth="1"/>
    <col min="4" max="4" width="6.5703125" bestFit="1" customWidth="1"/>
    <col min="5" max="5" width="11" bestFit="1" customWidth="1"/>
    <col min="6" max="6" width="14.7109375" bestFit="1" customWidth="1"/>
    <col min="7" max="7" width="36.7109375" bestFit="1" customWidth="1"/>
    <col min="8" max="8" width="23.85546875" bestFit="1" customWidth="1"/>
    <col min="9" max="9" width="21.5703125" bestFit="1" customWidth="1"/>
    <col min="10" max="10" width="10.7109375" bestFit="1" customWidth="1"/>
    <col min="11" max="11" width="6.42578125" bestFit="1" customWidth="1"/>
    <col min="12" max="12" width="13.140625" bestFit="1" customWidth="1"/>
    <col min="13" max="13" width="13.28515625" bestFit="1" customWidth="1"/>
    <col min="14" max="14" width="17.28515625" bestFit="1" customWidth="1"/>
    <col min="15" max="15" width="14.28515625" bestFit="1" customWidth="1"/>
    <col min="16" max="16" width="16" bestFit="1" customWidth="1"/>
    <col min="17" max="18" width="21.7109375" bestFit="1" customWidth="1"/>
  </cols>
  <sheetData>
    <row r="1" spans="1:18" ht="15.75" customHeight="1" x14ac:dyDescent="0.25">
      <c r="A1" s="1"/>
      <c r="B1" s="1"/>
      <c r="C1" s="1"/>
      <c r="D1" s="1"/>
      <c r="E1" s="1"/>
      <c r="F1" s="2"/>
      <c r="G1" s="1"/>
      <c r="H1" s="3"/>
      <c r="I1" s="4"/>
      <c r="J1" s="4"/>
      <c r="K1" s="4"/>
      <c r="L1" s="4"/>
      <c r="M1" s="4"/>
      <c r="N1" s="4"/>
      <c r="O1" s="5" t="s">
        <v>0</v>
      </c>
      <c r="P1" s="5" t="s">
        <v>1</v>
      </c>
      <c r="Q1" s="6" t="s">
        <v>2</v>
      </c>
      <c r="R1" s="6" t="s">
        <v>3</v>
      </c>
    </row>
    <row r="2" spans="1:18" ht="15.75" customHeight="1" x14ac:dyDescent="0.25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9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10" t="s">
        <v>18</v>
      </c>
      <c r="P2" s="10" t="s">
        <v>19</v>
      </c>
      <c r="Q2" s="10" t="s">
        <v>20</v>
      </c>
      <c r="R2" s="10" t="s">
        <v>21</v>
      </c>
    </row>
    <row r="3" spans="1:18" ht="15.75" customHeight="1" x14ac:dyDescent="0.25">
      <c r="A3" s="18" t="s">
        <v>30</v>
      </c>
      <c r="B3" s="23" t="s">
        <v>24</v>
      </c>
      <c r="C3" s="19">
        <v>45459</v>
      </c>
      <c r="D3" s="19"/>
      <c r="E3" s="21">
        <v>1000</v>
      </c>
      <c r="F3" s="7"/>
      <c r="G3" s="20" t="s">
        <v>25</v>
      </c>
      <c r="H3" s="16" t="s">
        <v>23</v>
      </c>
      <c r="I3" s="16" t="s">
        <v>22</v>
      </c>
      <c r="J3" s="12">
        <v>37122</v>
      </c>
      <c r="K3" s="13">
        <f ca="1">DATEDIF($J3,TODAY(),"Y")</f>
        <v>24</v>
      </c>
      <c r="L3" s="22" t="str">
        <f ca="1">IF($K3&lt;=18,"0-18",
IF($K3&lt;=23,"19-23",
IF($K3&lt;=28,"24-28",
IF($K3&lt;=33,"29-33",
IF($K3&lt;=38,"34-38",
IF($K3&lt;=43,"39-43",
IF($K3&lt;=48,"44-48",
IF($K3&lt;=53,"49-53",
IF($K3&lt;=58,"54-58","59 ou mais"
)))))))))</f>
        <v>24-28</v>
      </c>
      <c r="M3" s="15">
        <v>0</v>
      </c>
      <c r="N3" s="15">
        <f t="shared" ref="N3:N5" si="0">M3*80%</f>
        <v>0</v>
      </c>
      <c r="O3" s="16">
        <f t="shared" ref="O3:O5" si="1">M3*20%</f>
        <v>0</v>
      </c>
      <c r="P3" s="16">
        <v>0</v>
      </c>
      <c r="Q3" s="16">
        <v>0</v>
      </c>
      <c r="R3" s="16">
        <v>0</v>
      </c>
    </row>
    <row r="4" spans="1:18" ht="15.75" customHeight="1" x14ac:dyDescent="0.25">
      <c r="A4" s="18" t="s">
        <v>31</v>
      </c>
      <c r="B4" s="23" t="s">
        <v>24</v>
      </c>
      <c r="C4" s="19">
        <v>45894</v>
      </c>
      <c r="D4" s="19"/>
      <c r="E4" s="21">
        <v>1000</v>
      </c>
      <c r="F4" s="7"/>
      <c r="G4" s="20" t="s">
        <v>26</v>
      </c>
      <c r="H4" s="16" t="s">
        <v>27</v>
      </c>
      <c r="I4" s="16" t="s">
        <v>22</v>
      </c>
      <c r="J4" s="12">
        <v>37773</v>
      </c>
      <c r="K4" s="13">
        <f t="shared" ref="K3:K5" ca="1" si="2">DATEDIF(J4,TODAY(),"Y")</f>
        <v>22</v>
      </c>
      <c r="L4" s="22" t="str">
        <f t="shared" ref="L4:L5" ca="1" si="3">IF($K4&lt;=18,"0-18",
IF($K4&lt;=23,"19-23",
IF($K4&lt;=28,"24-28",
IF($K4&lt;=33,"29-33",
IF($K4&lt;=38,"34-38",
IF($K4&lt;=43,"39-43",
IF($K4&lt;=48,"44-48",
IF($K4&lt;=53,"49-53",
IF($K4&lt;=58,"54-58","59 ou mais"
)))))))))</f>
        <v>19-23</v>
      </c>
      <c r="M4" s="15">
        <v>0</v>
      </c>
      <c r="N4" s="15">
        <f t="shared" si="0"/>
        <v>0</v>
      </c>
      <c r="O4" s="16">
        <f t="shared" si="1"/>
        <v>0</v>
      </c>
      <c r="P4" s="16">
        <v>0</v>
      </c>
      <c r="Q4" s="16">
        <v>0</v>
      </c>
      <c r="R4" s="16">
        <v>0</v>
      </c>
    </row>
    <row r="5" spans="1:18" ht="15.75" customHeight="1" x14ac:dyDescent="0.25">
      <c r="A5" s="17" t="s">
        <v>32</v>
      </c>
      <c r="B5" s="24" t="s">
        <v>24</v>
      </c>
      <c r="C5" s="25">
        <v>45936</v>
      </c>
      <c r="D5" s="25"/>
      <c r="E5" s="26">
        <v>1000</v>
      </c>
      <c r="F5" s="7"/>
      <c r="G5" s="11" t="s">
        <v>28</v>
      </c>
      <c r="H5" s="20" t="s">
        <v>29</v>
      </c>
      <c r="I5" s="14" t="s">
        <v>22</v>
      </c>
      <c r="J5" s="12">
        <v>33330</v>
      </c>
      <c r="K5" s="13">
        <f t="shared" ca="1" si="2"/>
        <v>34</v>
      </c>
      <c r="L5" s="14" t="str">
        <f t="shared" ca="1" si="3"/>
        <v>34-38</v>
      </c>
      <c r="M5" s="15">
        <v>0</v>
      </c>
      <c r="N5" s="15">
        <f t="shared" si="0"/>
        <v>0</v>
      </c>
      <c r="O5" s="16">
        <f t="shared" si="1"/>
        <v>0</v>
      </c>
      <c r="P5" s="16">
        <v>0</v>
      </c>
      <c r="Q5" s="16">
        <v>0</v>
      </c>
      <c r="R5" s="1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Rodrigues</cp:lastModifiedBy>
  <dcterms:modified xsi:type="dcterms:W3CDTF">2025-12-22T20:25:06Z</dcterms:modified>
</cp:coreProperties>
</file>