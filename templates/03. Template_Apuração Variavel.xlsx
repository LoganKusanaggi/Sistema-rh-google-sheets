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aulo.rodrigues\Documents\Rodrigues\11. Automação Google Sheets\templates\"/>
    </mc:Choice>
  </mc:AlternateContent>
  <xr:revisionPtr revIDLastSave="0" documentId="13_ncr:1_{92A2A2BE-6891-4FBB-8AAD-1EB03662BFAE}" xr6:coauthVersionLast="47" xr6:coauthVersionMax="47" xr10:uidLastSave="{00000000-0000-0000-0000-000000000000}"/>
  <bookViews>
    <workbookView xWindow="23880" yWindow="-120" windowWidth="20730" windowHeight="11160" xr2:uid="{C7BF3455-0273-4FA4-B875-9A3CDF82F738}"/>
  </bookViews>
  <sheets>
    <sheet name="Apuração Inicial" sheetId="3" r:id="rId1"/>
    <sheet name="Apuração Dezembro" sheetId="4" r:id="rId2"/>
    <sheet name="Apuração Trimestre" sheetId="5" r:id="rId3"/>
  </sheets>
  <definedNames>
    <definedName name="_xlnm._FilterDatabase" localSheetId="2" hidden="1">'Apuração Trimestre'!$A$3:$BR$21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" i="4" l="1"/>
  <c r="S28" i="4"/>
  <c r="S35" i="4" s="1"/>
  <c r="S36" i="4" s="1"/>
  <c r="Q28" i="4"/>
  <c r="P28" i="4"/>
  <c r="AN26" i="5" s="1"/>
  <c r="M28" i="4"/>
  <c r="L28" i="4"/>
  <c r="AA26" i="5" s="1"/>
  <c r="J28" i="4"/>
  <c r="I28" i="4"/>
  <c r="Y26" i="5" s="1"/>
  <c r="F28" i="4"/>
  <c r="M26" i="5" s="1"/>
  <c r="E28" i="4"/>
  <c r="L26" i="5" s="1"/>
  <c r="C28" i="4"/>
  <c r="B28" i="4"/>
  <c r="J26" i="5" s="1"/>
  <c r="X23" i="4" a="1"/>
  <c r="X23" i="4" s="1"/>
  <c r="D10" i="4"/>
  <c r="N9" i="5" s="1"/>
  <c r="G10" i="4"/>
  <c r="O9" i="5" s="1"/>
  <c r="J4" i="5"/>
  <c r="K4" i="5"/>
  <c r="L4" i="5"/>
  <c r="M4" i="5"/>
  <c r="Y4" i="5"/>
  <c r="Z4" i="5"/>
  <c r="AA4" i="5"/>
  <c r="AB4" i="5"/>
  <c r="AN4" i="5"/>
  <c r="AO4" i="5"/>
  <c r="AP4" i="5"/>
  <c r="AQ4" i="5"/>
  <c r="J5" i="5"/>
  <c r="K5" i="5"/>
  <c r="L5" i="5"/>
  <c r="M5" i="5"/>
  <c r="Y5" i="5"/>
  <c r="Z5" i="5"/>
  <c r="AA5" i="5"/>
  <c r="AB5" i="5"/>
  <c r="AN5" i="5"/>
  <c r="AO5" i="5"/>
  <c r="AP5" i="5"/>
  <c r="AQ5" i="5"/>
  <c r="J6" i="5"/>
  <c r="K6" i="5"/>
  <c r="L6" i="5"/>
  <c r="M6" i="5"/>
  <c r="Y6" i="5"/>
  <c r="Z6" i="5"/>
  <c r="AA6" i="5"/>
  <c r="AB6" i="5"/>
  <c r="AN6" i="5"/>
  <c r="AO6" i="5"/>
  <c r="AP6" i="5"/>
  <c r="AQ6" i="5"/>
  <c r="J7" i="5"/>
  <c r="K7" i="5"/>
  <c r="L7" i="5"/>
  <c r="M7" i="5"/>
  <c r="Y7" i="5"/>
  <c r="Z7" i="5"/>
  <c r="AA7" i="5"/>
  <c r="AB7" i="5"/>
  <c r="AN7" i="5"/>
  <c r="AO7" i="5"/>
  <c r="AP7" i="5"/>
  <c r="AQ7" i="5"/>
  <c r="J8" i="5"/>
  <c r="K8" i="5"/>
  <c r="L8" i="5"/>
  <c r="M8" i="5"/>
  <c r="Y8" i="5"/>
  <c r="Z8" i="5"/>
  <c r="AA8" i="5"/>
  <c r="AB8" i="5"/>
  <c r="AN8" i="5"/>
  <c r="AO8" i="5"/>
  <c r="AP8" i="5"/>
  <c r="AQ8" i="5"/>
  <c r="J9" i="5"/>
  <c r="K9" i="5"/>
  <c r="L9" i="5"/>
  <c r="M9" i="5"/>
  <c r="Y9" i="5"/>
  <c r="Z9" i="5"/>
  <c r="AA9" i="5"/>
  <c r="AB9" i="5"/>
  <c r="AN9" i="5"/>
  <c r="AO9" i="5"/>
  <c r="AP9" i="5"/>
  <c r="AQ9" i="5"/>
  <c r="J10" i="5"/>
  <c r="K10" i="5"/>
  <c r="L10" i="5"/>
  <c r="M10" i="5"/>
  <c r="Y10" i="5"/>
  <c r="Z10" i="5"/>
  <c r="AA10" i="5"/>
  <c r="AB10" i="5"/>
  <c r="AN10" i="5"/>
  <c r="AO10" i="5"/>
  <c r="AP10" i="5"/>
  <c r="AQ10" i="5"/>
  <c r="J11" i="5"/>
  <c r="K11" i="5"/>
  <c r="L11" i="5"/>
  <c r="M11" i="5"/>
  <c r="Y11" i="5"/>
  <c r="Z11" i="5"/>
  <c r="AA11" i="5"/>
  <c r="AB11" i="5"/>
  <c r="AN11" i="5"/>
  <c r="AO11" i="5"/>
  <c r="AP11" i="5"/>
  <c r="AQ11" i="5"/>
  <c r="J12" i="5"/>
  <c r="K12" i="5"/>
  <c r="L12" i="5"/>
  <c r="M12" i="5"/>
  <c r="N12" i="5"/>
  <c r="O12" i="5"/>
  <c r="Y12" i="5"/>
  <c r="Z12" i="5"/>
  <c r="AA12" i="5"/>
  <c r="AB12" i="5"/>
  <c r="AC12" i="5"/>
  <c r="AD12" i="5"/>
  <c r="AN12" i="5"/>
  <c r="AO12" i="5"/>
  <c r="AP12" i="5"/>
  <c r="AQ12" i="5"/>
  <c r="AR12" i="5"/>
  <c r="AS12" i="5"/>
  <c r="J13" i="5"/>
  <c r="K13" i="5"/>
  <c r="L13" i="5"/>
  <c r="M13" i="5"/>
  <c r="Y13" i="5"/>
  <c r="Z13" i="5"/>
  <c r="AA13" i="5"/>
  <c r="AB13" i="5"/>
  <c r="AN13" i="5"/>
  <c r="AO13" i="5"/>
  <c r="AP13" i="5"/>
  <c r="AQ13" i="5"/>
  <c r="J14" i="5"/>
  <c r="K14" i="5"/>
  <c r="L14" i="5"/>
  <c r="M14" i="5"/>
  <c r="Y14" i="5"/>
  <c r="Z14" i="5"/>
  <c r="AA14" i="5"/>
  <c r="AB14" i="5"/>
  <c r="AN14" i="5"/>
  <c r="AO14" i="5"/>
  <c r="AP14" i="5"/>
  <c r="AQ14" i="5"/>
  <c r="J15" i="5"/>
  <c r="K15" i="5"/>
  <c r="L15" i="5"/>
  <c r="M15" i="5"/>
  <c r="Y15" i="5"/>
  <c r="Z15" i="5"/>
  <c r="AA15" i="5"/>
  <c r="AB15" i="5"/>
  <c r="AN15" i="5"/>
  <c r="AO15" i="5"/>
  <c r="AP15" i="5"/>
  <c r="AQ15" i="5"/>
  <c r="J16" i="5"/>
  <c r="K16" i="5"/>
  <c r="L16" i="5"/>
  <c r="M16" i="5"/>
  <c r="Y16" i="5"/>
  <c r="Z16" i="5"/>
  <c r="AA16" i="5"/>
  <c r="AB16" i="5"/>
  <c r="AN16" i="5"/>
  <c r="AO16" i="5"/>
  <c r="AP16" i="5"/>
  <c r="AQ16" i="5"/>
  <c r="J17" i="5"/>
  <c r="K17" i="5"/>
  <c r="L17" i="5"/>
  <c r="M17" i="5"/>
  <c r="Y17" i="5"/>
  <c r="Z17" i="5"/>
  <c r="AA17" i="5"/>
  <c r="AB17" i="5"/>
  <c r="AN17" i="5"/>
  <c r="AO17" i="5"/>
  <c r="AP17" i="5"/>
  <c r="AQ17" i="5"/>
  <c r="J18" i="5"/>
  <c r="K18" i="5"/>
  <c r="L18" i="5"/>
  <c r="M18" i="5"/>
  <c r="Y18" i="5"/>
  <c r="Z18" i="5"/>
  <c r="AA18" i="5"/>
  <c r="AB18" i="5"/>
  <c r="AN18" i="5"/>
  <c r="AO18" i="5"/>
  <c r="AP18" i="5"/>
  <c r="AQ18" i="5"/>
  <c r="J19" i="5"/>
  <c r="K19" i="5"/>
  <c r="L19" i="5"/>
  <c r="M19" i="5"/>
  <c r="Y19" i="5"/>
  <c r="Z19" i="5"/>
  <c r="AA19" i="5"/>
  <c r="AB19" i="5"/>
  <c r="AN19" i="5"/>
  <c r="AO19" i="5"/>
  <c r="AP19" i="5"/>
  <c r="AQ19" i="5"/>
  <c r="J20" i="5"/>
  <c r="K20" i="5"/>
  <c r="L20" i="5"/>
  <c r="M20" i="5"/>
  <c r="Y20" i="5"/>
  <c r="Z20" i="5"/>
  <c r="AA20" i="5"/>
  <c r="AB20" i="5"/>
  <c r="AN20" i="5"/>
  <c r="AO20" i="5"/>
  <c r="AP20" i="5"/>
  <c r="AQ20" i="5"/>
  <c r="J21" i="5"/>
  <c r="K21" i="5"/>
  <c r="L21" i="5"/>
  <c r="M21" i="5"/>
  <c r="N21" i="5"/>
  <c r="O21" i="5"/>
  <c r="Y21" i="5"/>
  <c r="Z21" i="5"/>
  <c r="AA21" i="5"/>
  <c r="AB21" i="5"/>
  <c r="AC21" i="5"/>
  <c r="AD21" i="5"/>
  <c r="AN21" i="5"/>
  <c r="AO21" i="5"/>
  <c r="AP21" i="5"/>
  <c r="AQ21" i="5"/>
  <c r="AR21" i="5"/>
  <c r="AS21" i="5"/>
  <c r="AB8" i="4"/>
  <c r="Q56" i="4"/>
  <c r="P56" i="4"/>
  <c r="J56" i="4"/>
  <c r="I56" i="4"/>
  <c r="C56" i="4"/>
  <c r="B56" i="4"/>
  <c r="Q55" i="4"/>
  <c r="P55" i="4"/>
  <c r="J55" i="4"/>
  <c r="I55" i="4"/>
  <c r="C55" i="4"/>
  <c r="B55" i="4"/>
  <c r="Q54" i="4"/>
  <c r="P54" i="4"/>
  <c r="J54" i="4"/>
  <c r="I54" i="4"/>
  <c r="C54" i="4"/>
  <c r="B54" i="4"/>
  <c r="Q53" i="4"/>
  <c r="P53" i="4"/>
  <c r="J53" i="4"/>
  <c r="I53" i="4"/>
  <c r="C53" i="4"/>
  <c r="B53" i="4"/>
  <c r="Q48" i="4"/>
  <c r="P48" i="4"/>
  <c r="J48" i="4"/>
  <c r="I48" i="4"/>
  <c r="C48" i="4"/>
  <c r="B48" i="4"/>
  <c r="Q47" i="4"/>
  <c r="P47" i="4"/>
  <c r="J47" i="4"/>
  <c r="I47" i="4"/>
  <c r="C47" i="4"/>
  <c r="B47" i="4"/>
  <c r="Q46" i="4"/>
  <c r="P46" i="4"/>
  <c r="J46" i="4"/>
  <c r="I46" i="4"/>
  <c r="C46" i="4"/>
  <c r="B46" i="4"/>
  <c r="Q45" i="4"/>
  <c r="P45" i="4"/>
  <c r="J45" i="4"/>
  <c r="I45" i="4"/>
  <c r="C45" i="4"/>
  <c r="B45" i="4"/>
  <c r="T40" i="4"/>
  <c r="S40" i="4"/>
  <c r="Q40" i="4"/>
  <c r="P40" i="4"/>
  <c r="M40" i="4"/>
  <c r="L40" i="4"/>
  <c r="J40" i="4"/>
  <c r="I40" i="4"/>
  <c r="F40" i="4"/>
  <c r="E40" i="4"/>
  <c r="C40" i="4"/>
  <c r="B40" i="4"/>
  <c r="R39" i="4"/>
  <c r="K39" i="4"/>
  <c r="D39" i="4"/>
  <c r="Q36" i="4"/>
  <c r="P36" i="4"/>
  <c r="M36" i="4"/>
  <c r="L36" i="4"/>
  <c r="J36" i="4"/>
  <c r="I36" i="4"/>
  <c r="F36" i="4"/>
  <c r="E36" i="4"/>
  <c r="C36" i="4"/>
  <c r="B36" i="4"/>
  <c r="U22" i="4"/>
  <c r="AS20" i="5" s="1"/>
  <c r="R22" i="4"/>
  <c r="AR20" i="5" s="1"/>
  <c r="N22" i="4"/>
  <c r="AD20" i="5" s="1"/>
  <c r="K22" i="4"/>
  <c r="AC20" i="5" s="1"/>
  <c r="G22" i="4"/>
  <c r="O20" i="5" s="1"/>
  <c r="D22" i="4"/>
  <c r="N20" i="5" s="1"/>
  <c r="U21" i="4"/>
  <c r="AS19" i="5" s="1"/>
  <c r="R21" i="4"/>
  <c r="AR19" i="5" s="1"/>
  <c r="N21" i="4"/>
  <c r="AD19" i="5" s="1"/>
  <c r="K21" i="4"/>
  <c r="AC19" i="5" s="1"/>
  <c r="G21" i="4"/>
  <c r="O19" i="5" s="1"/>
  <c r="D21" i="4"/>
  <c r="U20" i="4"/>
  <c r="AS18" i="5" s="1"/>
  <c r="R20" i="4"/>
  <c r="AR18" i="5" s="1"/>
  <c r="N20" i="4"/>
  <c r="AD18" i="5" s="1"/>
  <c r="K20" i="4"/>
  <c r="AC18" i="5" s="1"/>
  <c r="G20" i="4"/>
  <c r="O18" i="5" s="1"/>
  <c r="D20" i="4"/>
  <c r="U19" i="4"/>
  <c r="R19" i="4"/>
  <c r="N19" i="4"/>
  <c r="K19" i="4"/>
  <c r="G19" i="4"/>
  <c r="D19" i="4"/>
  <c r="U18" i="4"/>
  <c r="AS17" i="5" s="1"/>
  <c r="R18" i="4"/>
  <c r="N18" i="4"/>
  <c r="AD17" i="5" s="1"/>
  <c r="K18" i="4"/>
  <c r="AC17" i="5" s="1"/>
  <c r="G18" i="4"/>
  <c r="O17" i="5" s="1"/>
  <c r="D18" i="4"/>
  <c r="N17" i="5" s="1"/>
  <c r="U17" i="4"/>
  <c r="AS16" i="5" s="1"/>
  <c r="R17" i="4"/>
  <c r="AR16" i="5" s="1"/>
  <c r="N17" i="4"/>
  <c r="AD16" i="5" s="1"/>
  <c r="K17" i="4"/>
  <c r="AC16" i="5" s="1"/>
  <c r="G17" i="4"/>
  <c r="O16" i="5" s="1"/>
  <c r="D17" i="4"/>
  <c r="U16" i="4"/>
  <c r="AS15" i="5" s="1"/>
  <c r="R16" i="4"/>
  <c r="AR15" i="5" s="1"/>
  <c r="N16" i="4"/>
  <c r="AD15" i="5" s="1"/>
  <c r="K16" i="4"/>
  <c r="AC15" i="5" s="1"/>
  <c r="G16" i="4"/>
  <c r="O15" i="5" s="1"/>
  <c r="D16" i="4"/>
  <c r="U15" i="4"/>
  <c r="R15" i="4"/>
  <c r="AR14" i="5" s="1"/>
  <c r="N15" i="4"/>
  <c r="AD14" i="5" s="1"/>
  <c r="K15" i="4"/>
  <c r="AC14" i="5" s="1"/>
  <c r="G15" i="4"/>
  <c r="O14" i="5" s="1"/>
  <c r="D15" i="4"/>
  <c r="N14" i="5" s="1"/>
  <c r="U14" i="4"/>
  <c r="AS13" i="5" s="1"/>
  <c r="R14" i="4"/>
  <c r="AR13" i="5" s="1"/>
  <c r="N14" i="4"/>
  <c r="K14" i="4"/>
  <c r="AC13" i="5" s="1"/>
  <c r="G14" i="4"/>
  <c r="O13" i="5" s="1"/>
  <c r="D14" i="4"/>
  <c r="N13" i="5" s="1"/>
  <c r="X13" i="4" a="1"/>
  <c r="X13" i="4" s="1"/>
  <c r="Y13" i="4" s="1"/>
  <c r="U12" i="4"/>
  <c r="AS11" i="5" s="1"/>
  <c r="R12" i="4"/>
  <c r="AR11" i="5" s="1"/>
  <c r="N12" i="4"/>
  <c r="AD11" i="5" s="1"/>
  <c r="K12" i="4"/>
  <c r="AC11" i="5" s="1"/>
  <c r="G12" i="4"/>
  <c r="O11" i="5" s="1"/>
  <c r="D12" i="4"/>
  <c r="U11" i="4"/>
  <c r="AS10" i="5" s="1"/>
  <c r="R11" i="4"/>
  <c r="AR10" i="5" s="1"/>
  <c r="N11" i="4"/>
  <c r="AD10" i="5" s="1"/>
  <c r="K11" i="4"/>
  <c r="AC10" i="5" s="1"/>
  <c r="G11" i="4"/>
  <c r="O10" i="5" s="1"/>
  <c r="D11" i="4"/>
  <c r="N10" i="5" s="1"/>
  <c r="U10" i="4"/>
  <c r="AS9" i="5" s="1"/>
  <c r="R10" i="4"/>
  <c r="AR9" i="5" s="1"/>
  <c r="N10" i="4"/>
  <c r="AD9" i="5" s="1"/>
  <c r="K10" i="4"/>
  <c r="AC9" i="5" s="1"/>
  <c r="U9" i="4"/>
  <c r="AS8" i="5" s="1"/>
  <c r="R9" i="4"/>
  <c r="AR8" i="5" s="1"/>
  <c r="N9" i="4"/>
  <c r="AD8" i="5" s="1"/>
  <c r="K9" i="4"/>
  <c r="AC8" i="5" s="1"/>
  <c r="G9" i="4"/>
  <c r="O8" i="5" s="1"/>
  <c r="D9" i="4"/>
  <c r="U8" i="4"/>
  <c r="R8" i="4"/>
  <c r="N8" i="4"/>
  <c r="K8" i="4"/>
  <c r="G8" i="4"/>
  <c r="D8" i="4"/>
  <c r="U7" i="4"/>
  <c r="AS7" i="5" s="1"/>
  <c r="R7" i="4"/>
  <c r="AR7" i="5" s="1"/>
  <c r="N7" i="4"/>
  <c r="AD7" i="5" s="1"/>
  <c r="K7" i="4"/>
  <c r="AC7" i="5" s="1"/>
  <c r="G7" i="4"/>
  <c r="O7" i="5" s="1"/>
  <c r="D7" i="4"/>
  <c r="N7" i="5" s="1"/>
  <c r="U6" i="4"/>
  <c r="AS6" i="5" s="1"/>
  <c r="R6" i="4"/>
  <c r="AR6" i="5" s="1"/>
  <c r="N6" i="4"/>
  <c r="K6" i="4"/>
  <c r="AC6" i="5" s="1"/>
  <c r="G6" i="4"/>
  <c r="O6" i="5" s="1"/>
  <c r="D6" i="4"/>
  <c r="N6" i="5" s="1"/>
  <c r="U5" i="4"/>
  <c r="AS5" i="5" s="1"/>
  <c r="R5" i="4"/>
  <c r="AR5" i="5" s="1"/>
  <c r="N5" i="4"/>
  <c r="AD5" i="5" s="1"/>
  <c r="K5" i="4"/>
  <c r="AC5" i="5" s="1"/>
  <c r="G5" i="4"/>
  <c r="O5" i="5" s="1"/>
  <c r="D5" i="4"/>
  <c r="U4" i="4"/>
  <c r="AS4" i="5" s="1"/>
  <c r="R4" i="4"/>
  <c r="AR4" i="5" s="1"/>
  <c r="N4" i="4"/>
  <c r="AD4" i="5" s="1"/>
  <c r="K4" i="4"/>
  <c r="AC4" i="5" s="1"/>
  <c r="G4" i="4"/>
  <c r="O4" i="5" s="1"/>
  <c r="D4" i="4"/>
  <c r="N4" i="5" s="1"/>
  <c r="BE15" i="5" l="1"/>
  <c r="BI10" i="5"/>
  <c r="BI9" i="5"/>
  <c r="BI8" i="5"/>
  <c r="BF18" i="5"/>
  <c r="BF15" i="5"/>
  <c r="BL17" i="5"/>
  <c r="BL16" i="5"/>
  <c r="BL15" i="5"/>
  <c r="BL13" i="5"/>
  <c r="BH9" i="5"/>
  <c r="BH7" i="5"/>
  <c r="BH6" i="5"/>
  <c r="AP26" i="5"/>
  <c r="BL12" i="5"/>
  <c r="BF12" i="5"/>
  <c r="BF7" i="5"/>
  <c r="BF6" i="5"/>
  <c r="BI17" i="5"/>
  <c r="BI14" i="5"/>
  <c r="BI13" i="5"/>
  <c r="BI7" i="5"/>
  <c r="BI21" i="5"/>
  <c r="BK20" i="5"/>
  <c r="BF20" i="5"/>
  <c r="BF19" i="5"/>
  <c r="BH13" i="5"/>
  <c r="BL6" i="5"/>
  <c r="BL4" i="5"/>
  <c r="X20" i="4" a="1"/>
  <c r="X20" i="4" s="1"/>
  <c r="Y20" i="4" s="1"/>
  <c r="X5" i="4" a="1"/>
  <c r="X5" i="4" s="1"/>
  <c r="Y5" i="4" s="1"/>
  <c r="BH21" i="5"/>
  <c r="BI20" i="5"/>
  <c r="BK12" i="5"/>
  <c r="BE6" i="5"/>
  <c r="BH16" i="5"/>
  <c r="BH14" i="5"/>
  <c r="BF26" i="5"/>
  <c r="U40" i="4"/>
  <c r="BF5" i="5"/>
  <c r="BH20" i="5"/>
  <c r="BH18" i="5"/>
  <c r="BE5" i="5"/>
  <c r="BE4" i="5"/>
  <c r="N28" i="4"/>
  <c r="AD26" i="5" s="1"/>
  <c r="BH17" i="5"/>
  <c r="BK14" i="5"/>
  <c r="BK21" i="5"/>
  <c r="BE19" i="5"/>
  <c r="BE18" i="5"/>
  <c r="BF13" i="5"/>
  <c r="BI12" i="5"/>
  <c r="BK11" i="5"/>
  <c r="BK8" i="5"/>
  <c r="BK7" i="5"/>
  <c r="BK6" i="5"/>
  <c r="BE17" i="5"/>
  <c r="BH19" i="5"/>
  <c r="BF11" i="5"/>
  <c r="BI5" i="5"/>
  <c r="BH15" i="5"/>
  <c r="BE11" i="5"/>
  <c r="BH5" i="5"/>
  <c r="BH4" i="5"/>
  <c r="BK19" i="5"/>
  <c r="BF17" i="5"/>
  <c r="BF16" i="5"/>
  <c r="BL11" i="5"/>
  <c r="BL9" i="5"/>
  <c r="BF4" i="5"/>
  <c r="BK10" i="5"/>
  <c r="BL19" i="5"/>
  <c r="BL18" i="5"/>
  <c r="BE7" i="5"/>
  <c r="BK16" i="5"/>
  <c r="BK15" i="5"/>
  <c r="BH11" i="5"/>
  <c r="BK4" i="5"/>
  <c r="BE20" i="5"/>
  <c r="X9" i="4" a="1"/>
  <c r="X9" i="4" s="1"/>
  <c r="Y9" i="4" s="1"/>
  <c r="N40" i="4"/>
  <c r="BL20" i="5"/>
  <c r="BF9" i="5"/>
  <c r="BH8" i="5"/>
  <c r="G28" i="4"/>
  <c r="O26" i="5" s="1"/>
  <c r="X16" i="4" a="1"/>
  <c r="X16" i="4" s="1"/>
  <c r="Y16" i="4" s="1"/>
  <c r="BI16" i="5"/>
  <c r="BE13" i="5"/>
  <c r="BH12" i="5"/>
  <c r="K28" i="4"/>
  <c r="AC26" i="5" s="1"/>
  <c r="BK18" i="5"/>
  <c r="BI15" i="5"/>
  <c r="BK13" i="5"/>
  <c r="BI11" i="5"/>
  <c r="BK9" i="5"/>
  <c r="BE8" i="5"/>
  <c r="BI6" i="5"/>
  <c r="D36" i="4"/>
  <c r="BI19" i="5"/>
  <c r="R28" i="4"/>
  <c r="AR26" i="5" s="1"/>
  <c r="X19" i="4" a="1"/>
  <c r="X19" i="4" s="1"/>
  <c r="BI18" i="5"/>
  <c r="BK17" i="5"/>
  <c r="BE16" i="5"/>
  <c r="BE12" i="5"/>
  <c r="BH10" i="5"/>
  <c r="X15" i="4" a="1"/>
  <c r="X15" i="4" s="1"/>
  <c r="AX14" i="5" s="1"/>
  <c r="BA14" i="5" s="1"/>
  <c r="BL21" i="5"/>
  <c r="D40" i="4"/>
  <c r="N5" i="5"/>
  <c r="X14" i="4" a="1"/>
  <c r="X14" i="4" s="1"/>
  <c r="K36" i="4"/>
  <c r="AS14" i="5"/>
  <c r="BL5" i="5"/>
  <c r="X11" i="4" a="1"/>
  <c r="X11" i="4" s="1"/>
  <c r="X4" i="4" a="1"/>
  <c r="X4" i="4" s="1"/>
  <c r="X7" i="4" a="1"/>
  <c r="X7" i="4" s="1"/>
  <c r="X12" i="4" a="1"/>
  <c r="X12" i="4" s="1"/>
  <c r="X18" i="4" a="1"/>
  <c r="X18" i="4" s="1"/>
  <c r="N36" i="4"/>
  <c r="BL14" i="5"/>
  <c r="BF14" i="5"/>
  <c r="AD13" i="5"/>
  <c r="BL10" i="5"/>
  <c r="BF10" i="5"/>
  <c r="BE9" i="5"/>
  <c r="BK5" i="5"/>
  <c r="BI4" i="5"/>
  <c r="X17" i="4" a="1"/>
  <c r="X17" i="4" s="1"/>
  <c r="R36" i="4"/>
  <c r="BE14" i="5"/>
  <c r="BE10" i="5"/>
  <c r="Y23" i="4"/>
  <c r="X10" i="4"/>
  <c r="Y10" i="4" s="1"/>
  <c r="N18" i="5"/>
  <c r="N15" i="5"/>
  <c r="N11" i="5"/>
  <c r="N8" i="5"/>
  <c r="X21" i="4" a="1"/>
  <c r="X21" i="4" s="1"/>
  <c r="AX12" i="5"/>
  <c r="BL8" i="5"/>
  <c r="BF8" i="5"/>
  <c r="BL7" i="5"/>
  <c r="U28" i="4"/>
  <c r="AS26" i="5" s="1"/>
  <c r="G36" i="4"/>
  <c r="X6" i="4" a="1"/>
  <c r="X6" i="4" s="1"/>
  <c r="N19" i="5"/>
  <c r="AR17" i="5"/>
  <c r="N16" i="5"/>
  <c r="AD6" i="5"/>
  <c r="K40" i="4"/>
  <c r="R40" i="4"/>
  <c r="G40" i="4"/>
  <c r="D28" i="4"/>
  <c r="N26" i="5" s="1"/>
  <c r="T35" i="4"/>
  <c r="T36" i="4" s="1"/>
  <c r="U36" i="4" s="1"/>
  <c r="AQ26" i="5"/>
  <c r="AB26" i="5"/>
  <c r="BI26" i="5" s="1"/>
  <c r="X22" i="4" a="1"/>
  <c r="X22" i="4" s="1"/>
  <c r="Y22" i="4" s="1"/>
  <c r="AO26" i="5"/>
  <c r="BK26" i="5" s="1"/>
  <c r="Z26" i="5"/>
  <c r="BH26" i="5" s="1"/>
  <c r="K26" i="5"/>
  <c r="BE26" i="5" s="1"/>
  <c r="K54" i="4"/>
  <c r="K46" i="4"/>
  <c r="K56" i="4"/>
  <c r="K48" i="4"/>
  <c r="K47" i="4"/>
  <c r="AX21" i="5"/>
  <c r="AB23" i="4"/>
  <c r="BF21" i="5"/>
  <c r="BE21" i="5"/>
  <c r="R46" i="4"/>
  <c r="R55" i="4"/>
  <c r="R56" i="4"/>
  <c r="R53" i="4"/>
  <c r="R54" i="4"/>
  <c r="R45" i="4"/>
  <c r="R48" i="4"/>
  <c r="R47" i="4"/>
  <c r="K45" i="4"/>
  <c r="K53" i="4"/>
  <c r="K55" i="4"/>
  <c r="D48" i="4"/>
  <c r="D56" i="4"/>
  <c r="D53" i="4"/>
  <c r="D46" i="4"/>
  <c r="D54" i="4"/>
  <c r="D45" i="4"/>
  <c r="D47" i="4"/>
  <c r="D55" i="4"/>
  <c r="AB13" i="4"/>
  <c r="AZ14" i="5"/>
  <c r="Y19" i="4" l="1"/>
  <c r="BL26" i="5"/>
  <c r="BO26" i="5" s="1" a="1"/>
  <c r="BO26" i="5" s="1"/>
  <c r="BP26" i="5" s="1"/>
  <c r="AX18" i="5"/>
  <c r="AX15" i="5"/>
  <c r="U35" i="4"/>
  <c r="AB16" i="4"/>
  <c r="BO18" i="5" a="1"/>
  <c r="BO18" i="5" s="1"/>
  <c r="BP18" i="5" s="1"/>
  <c r="BO20" i="5" a="1"/>
  <c r="BO20" i="5" s="1"/>
  <c r="BO17" i="5" a="1"/>
  <c r="BO17" i="5" s="1"/>
  <c r="BP17" i="5" s="1"/>
  <c r="AX9" i="5"/>
  <c r="AX8" i="5"/>
  <c r="BO5" i="5" a="1"/>
  <c r="BO5" i="5" s="1"/>
  <c r="BP5" i="5" s="1"/>
  <c r="BO6" i="5" a="1"/>
  <c r="BO6" i="5" s="1"/>
  <c r="BP6" i="5" s="1"/>
  <c r="AX5" i="5"/>
  <c r="AB5" i="4"/>
  <c r="AB20" i="4"/>
  <c r="BO12" i="5" a="1"/>
  <c r="BO12" i="5" s="1"/>
  <c r="BP12" i="5" s="1"/>
  <c r="BO16" i="5" a="1"/>
  <c r="BO16" i="5" s="1"/>
  <c r="BP16" i="5" s="1"/>
  <c r="BO13" i="5" a="1"/>
  <c r="BO13" i="5" s="1"/>
  <c r="BP13" i="5" s="1"/>
  <c r="BO21" i="5" a="1"/>
  <c r="BO21" i="5" s="1"/>
  <c r="BO11" i="5" a="1"/>
  <c r="BO11" i="5" s="1"/>
  <c r="BP11" i="5" s="1"/>
  <c r="BO9" i="5" a="1"/>
  <c r="BO9" i="5" s="1"/>
  <c r="BP9" i="5" s="1"/>
  <c r="BO7" i="5" a="1"/>
  <c r="BO7" i="5" s="1"/>
  <c r="BP7" i="5" s="1"/>
  <c r="AB15" i="4"/>
  <c r="BO8" i="5" a="1"/>
  <c r="BO8" i="5" s="1"/>
  <c r="BP8" i="5" s="1"/>
  <c r="AB9" i="4"/>
  <c r="BO15" i="5" a="1"/>
  <c r="BO15" i="5" s="1"/>
  <c r="BP15" i="5" s="1"/>
  <c r="BO10" i="5" a="1"/>
  <c r="BO10" i="5" s="1"/>
  <c r="BP10" i="5" s="1"/>
  <c r="Y15" i="4"/>
  <c r="AB10" i="4"/>
  <c r="BO4" i="5" a="1"/>
  <c r="BO4" i="5" s="1"/>
  <c r="X36" i="4" a="1"/>
  <c r="X36" i="4" s="1"/>
  <c r="Y36" i="4" s="1"/>
  <c r="BO14" i="5" a="1"/>
  <c r="BO14" i="5" s="1"/>
  <c r="BP14" i="5" s="1"/>
  <c r="X54" i="4" a="1"/>
  <c r="X54" i="4" s="1"/>
  <c r="Y54" i="4" s="1"/>
  <c r="AB19" i="4"/>
  <c r="Y12" i="4"/>
  <c r="AX11" i="5"/>
  <c r="AB12" i="4"/>
  <c r="Y7" i="4"/>
  <c r="AX7" i="5"/>
  <c r="AB7" i="4"/>
  <c r="Y18" i="4"/>
  <c r="AB18" i="4"/>
  <c r="AX17" i="5"/>
  <c r="Y6" i="4"/>
  <c r="AB6" i="4"/>
  <c r="AX6" i="5"/>
  <c r="Y14" i="4"/>
  <c r="AB14" i="4"/>
  <c r="AX13" i="5"/>
  <c r="Y4" i="4"/>
  <c r="AX4" i="5"/>
  <c r="X40" i="4" a="1"/>
  <c r="X40" i="4" s="1"/>
  <c r="Y40" i="4" s="1"/>
  <c r="Y11" i="4"/>
  <c r="AX10" i="5"/>
  <c r="AB11" i="4"/>
  <c r="Y21" i="4"/>
  <c r="AX19" i="5"/>
  <c r="AB21" i="4"/>
  <c r="X28" i="4" a="1"/>
  <c r="X28" i="4" s="1"/>
  <c r="Y28" i="4" s="1"/>
  <c r="Y17" i="4"/>
  <c r="AB17" i="4"/>
  <c r="AX16" i="5"/>
  <c r="AB22" i="4"/>
  <c r="AX20" i="5"/>
  <c r="X53" i="4" a="1"/>
  <c r="X53" i="4" s="1"/>
  <c r="Y53" i="4" s="1"/>
  <c r="X55" i="4" a="1"/>
  <c r="X55" i="4" s="1"/>
  <c r="Y55" i="4" s="1"/>
  <c r="X45" i="4" a="1"/>
  <c r="X45" i="4" s="1"/>
  <c r="Y45" i="4" s="1"/>
  <c r="X46" i="4" a="1"/>
  <c r="X46" i="4" s="1"/>
  <c r="Y46" i="4" s="1"/>
  <c r="X47" i="4" a="1"/>
  <c r="X47" i="4" s="1"/>
  <c r="Y47" i="4" s="1"/>
  <c r="X56" i="4" a="1"/>
  <c r="X56" i="4" s="1"/>
  <c r="Y56" i="4" s="1"/>
  <c r="X48" i="4" a="1"/>
  <c r="X48" i="4" s="1"/>
  <c r="Y48" i="4" s="1"/>
  <c r="AY14" i="5"/>
  <c r="BC14" i="5" s="1"/>
  <c r="AB54" i="4" l="1"/>
  <c r="BQ14" i="5"/>
  <c r="AB28" i="4"/>
  <c r="AX26" i="5"/>
  <c r="AB55" i="4"/>
  <c r="AB56" i="4"/>
  <c r="B28" i="3"/>
  <c r="U8" i="3"/>
  <c r="U9" i="3"/>
  <c r="U10" i="3"/>
  <c r="R8" i="3"/>
  <c r="R9" i="3"/>
  <c r="R10" i="3"/>
  <c r="R11" i="3"/>
  <c r="N8" i="3"/>
  <c r="N9" i="3"/>
  <c r="N10" i="3"/>
  <c r="N11" i="3"/>
  <c r="K8" i="3"/>
  <c r="K9" i="3"/>
  <c r="K10" i="3"/>
  <c r="K11" i="3"/>
  <c r="G8" i="3"/>
  <c r="G9" i="3"/>
  <c r="G10" i="3"/>
  <c r="G11" i="3"/>
  <c r="D8" i="3"/>
  <c r="D9" i="3"/>
  <c r="D10" i="3"/>
  <c r="T28" i="3"/>
  <c r="S28" i="3"/>
  <c r="Q28" i="3"/>
  <c r="P28" i="3"/>
  <c r="M28" i="3"/>
  <c r="L28" i="3"/>
  <c r="J28" i="3"/>
  <c r="I28" i="3"/>
  <c r="F28" i="3"/>
  <c r="E28" i="3"/>
  <c r="C28" i="3"/>
  <c r="X10" i="3" l="1" a="1"/>
  <c r="X10" i="3" s="1"/>
  <c r="AA10" i="4" s="1"/>
  <c r="AC10" i="4" s="1"/>
  <c r="X9" i="3" a="1"/>
  <c r="X9" i="3" s="1"/>
  <c r="AA9" i="4" s="1"/>
  <c r="AC9" i="4" s="1"/>
  <c r="X8" i="3" a="1"/>
  <c r="X8" i="3" s="1"/>
  <c r="T43" i="5"/>
  <c r="AU20" i="5"/>
  <c r="AZ20" i="5" s="1"/>
  <c r="AU17" i="5"/>
  <c r="AZ17" i="5" s="1"/>
  <c r="AU16" i="5"/>
  <c r="AZ16" i="5" s="1"/>
  <c r="AU9" i="5"/>
  <c r="AF52" i="5"/>
  <c r="B52" i="5"/>
  <c r="AF51" i="5"/>
  <c r="B51" i="5"/>
  <c r="B50" i="5"/>
  <c r="AF45" i="5"/>
  <c r="AF44" i="5"/>
  <c r="Q44" i="5"/>
  <c r="B44" i="5"/>
  <c r="AF43" i="5"/>
  <c r="Q43" i="5"/>
  <c r="B43" i="5"/>
  <c r="AI38" i="5"/>
  <c r="AA38" i="5"/>
  <c r="AM38" i="5"/>
  <c r="T38" i="5"/>
  <c r="Q38" i="5"/>
  <c r="O38" i="5"/>
  <c r="I38" i="5"/>
  <c r="B38" i="5"/>
  <c r="T40" i="3"/>
  <c r="S40" i="3"/>
  <c r="J40" i="3"/>
  <c r="I40" i="3"/>
  <c r="F40" i="3"/>
  <c r="E40" i="3"/>
  <c r="B40" i="3"/>
  <c r="U17" i="3"/>
  <c r="U18" i="3"/>
  <c r="U19" i="3"/>
  <c r="U20" i="3"/>
  <c r="U21" i="3"/>
  <c r="U22" i="3"/>
  <c r="R17" i="3"/>
  <c r="R18" i="3"/>
  <c r="R19" i="3"/>
  <c r="R20" i="3"/>
  <c r="R21" i="3"/>
  <c r="R22" i="3"/>
  <c r="N17" i="3"/>
  <c r="N18" i="3"/>
  <c r="N19" i="3"/>
  <c r="N20" i="3"/>
  <c r="N21" i="3"/>
  <c r="N22" i="3"/>
  <c r="K17" i="3"/>
  <c r="K18" i="3"/>
  <c r="K19" i="3"/>
  <c r="K20" i="3"/>
  <c r="K21" i="3"/>
  <c r="K22" i="3"/>
  <c r="B36" i="3"/>
  <c r="G16" i="3"/>
  <c r="G17" i="3"/>
  <c r="G18" i="3"/>
  <c r="G19" i="3"/>
  <c r="G20" i="3"/>
  <c r="G21" i="3"/>
  <c r="G22" i="3"/>
  <c r="D11" i="3"/>
  <c r="X11" i="3" s="1" a="1"/>
  <c r="X11" i="3" s="1"/>
  <c r="AA11" i="4" s="1"/>
  <c r="AC11" i="4" s="1"/>
  <c r="D12" i="3"/>
  <c r="D13" i="3"/>
  <c r="D14" i="3"/>
  <c r="D15" i="3"/>
  <c r="D16" i="3"/>
  <c r="D17" i="3"/>
  <c r="D18" i="3"/>
  <c r="D19" i="3"/>
  <c r="D20" i="3"/>
  <c r="D21" i="3"/>
  <c r="D22" i="3"/>
  <c r="U28" i="3"/>
  <c r="S35" i="3"/>
  <c r="S36" i="3" s="1"/>
  <c r="Q36" i="3"/>
  <c r="R28" i="3"/>
  <c r="P36" i="3"/>
  <c r="K28" i="3"/>
  <c r="F36" i="3"/>
  <c r="B37" i="5"/>
  <c r="AU5" i="5"/>
  <c r="AZ5" i="5" s="1"/>
  <c r="AU6" i="5"/>
  <c r="AZ6" i="5" s="1"/>
  <c r="AU7" i="5"/>
  <c r="AZ7" i="5" s="1"/>
  <c r="AU8" i="5"/>
  <c r="AZ8" i="5" s="1"/>
  <c r="AU10" i="5"/>
  <c r="AZ10" i="5" s="1"/>
  <c r="AU11" i="5"/>
  <c r="AZ11" i="5" s="1"/>
  <c r="AU12" i="5"/>
  <c r="AZ12" i="5" s="1"/>
  <c r="AU13" i="5"/>
  <c r="AY13" i="5" s="1"/>
  <c r="AU15" i="5"/>
  <c r="AY15" i="5" s="1"/>
  <c r="AU51" i="5"/>
  <c r="Q52" i="5"/>
  <c r="AM37" i="5"/>
  <c r="AI37" i="5"/>
  <c r="AF37" i="5"/>
  <c r="X37" i="5"/>
  <c r="AS36" i="5"/>
  <c r="AP36" i="5"/>
  <c r="AM36" i="5"/>
  <c r="AL36" i="5"/>
  <c r="AI36" i="5"/>
  <c r="AF36" i="5"/>
  <c r="AD36" i="5"/>
  <c r="AA36" i="5"/>
  <c r="X36" i="5"/>
  <c r="W36" i="5"/>
  <c r="T36" i="5"/>
  <c r="Q36" i="5"/>
  <c r="O36" i="5"/>
  <c r="L36" i="5"/>
  <c r="I36" i="5"/>
  <c r="AS35" i="5"/>
  <c r="AP35" i="5"/>
  <c r="AM35" i="5"/>
  <c r="AL35" i="5"/>
  <c r="AI35" i="5"/>
  <c r="AF35" i="5"/>
  <c r="AD35" i="5"/>
  <c r="AA35" i="5"/>
  <c r="X35" i="5"/>
  <c r="W35" i="5"/>
  <c r="T35" i="5"/>
  <c r="Q35" i="5"/>
  <c r="O35" i="5"/>
  <c r="L35" i="5"/>
  <c r="I35" i="5"/>
  <c r="AS32" i="5"/>
  <c r="AP32" i="5"/>
  <c r="AM32" i="5"/>
  <c r="AL32" i="5"/>
  <c r="AI32" i="5"/>
  <c r="AF32" i="5"/>
  <c r="AD32" i="5"/>
  <c r="AA32" i="5"/>
  <c r="X32" i="5"/>
  <c r="W32" i="5"/>
  <c r="T32" i="5"/>
  <c r="Q32" i="5"/>
  <c r="O32" i="5"/>
  <c r="L32" i="5"/>
  <c r="I32" i="5"/>
  <c r="AS31" i="5"/>
  <c r="AP31" i="5"/>
  <c r="AM31" i="5"/>
  <c r="AL31" i="5"/>
  <c r="AI31" i="5"/>
  <c r="AF31" i="5"/>
  <c r="AD31" i="5"/>
  <c r="AA31" i="5"/>
  <c r="X31" i="5"/>
  <c r="W31" i="5"/>
  <c r="T31" i="5"/>
  <c r="Q31" i="5"/>
  <c r="O31" i="5"/>
  <c r="L31" i="5"/>
  <c r="I31" i="5"/>
  <c r="H36" i="5"/>
  <c r="H35" i="5"/>
  <c r="H32" i="5"/>
  <c r="H31" i="5"/>
  <c r="E36" i="5"/>
  <c r="E35" i="5"/>
  <c r="E32" i="5"/>
  <c r="E31" i="5"/>
  <c r="B36" i="5"/>
  <c r="B35" i="5"/>
  <c r="B32" i="5"/>
  <c r="B31" i="5"/>
  <c r="Q51" i="5"/>
  <c r="AF50" i="5"/>
  <c r="Q50" i="5"/>
  <c r="Q45" i="5"/>
  <c r="B45" i="5"/>
  <c r="X38" i="5"/>
  <c r="AL37" i="5"/>
  <c r="AD37" i="5"/>
  <c r="T37" i="5"/>
  <c r="E38" i="5"/>
  <c r="AU52" i="5"/>
  <c r="AU50" i="5"/>
  <c r="AU45" i="5"/>
  <c r="AU44" i="5"/>
  <c r="AU43" i="5"/>
  <c r="AU38" i="5"/>
  <c r="AU34" i="5"/>
  <c r="AU26" i="5"/>
  <c r="AZ26" i="5" s="1"/>
  <c r="AU21" i="5"/>
  <c r="AU19" i="5"/>
  <c r="AZ19" i="5" s="1"/>
  <c r="AU18" i="5"/>
  <c r="AY18" i="5" s="1"/>
  <c r="AU4" i="5"/>
  <c r="AF38" i="5"/>
  <c r="AA37" i="5"/>
  <c r="Q37" i="5"/>
  <c r="E37" i="5"/>
  <c r="H37" i="5"/>
  <c r="I37" i="5"/>
  <c r="L37" i="5"/>
  <c r="AP37" i="5"/>
  <c r="AS37" i="5"/>
  <c r="O37" i="5"/>
  <c r="W37" i="5"/>
  <c r="B55" i="3"/>
  <c r="C55" i="3"/>
  <c r="I55" i="3"/>
  <c r="J55" i="3"/>
  <c r="P55" i="3"/>
  <c r="Q55" i="3"/>
  <c r="I45" i="3"/>
  <c r="C53" i="3"/>
  <c r="U5" i="3"/>
  <c r="U6" i="3"/>
  <c r="U7" i="3"/>
  <c r="U11" i="3"/>
  <c r="U12" i="3"/>
  <c r="U13" i="3"/>
  <c r="U14" i="3"/>
  <c r="U15" i="3"/>
  <c r="U16" i="3"/>
  <c r="R5" i="3"/>
  <c r="R6" i="3"/>
  <c r="R7" i="3"/>
  <c r="R12" i="3"/>
  <c r="R13" i="3"/>
  <c r="R14" i="3"/>
  <c r="R15" i="3"/>
  <c r="R16" i="3"/>
  <c r="N5" i="3"/>
  <c r="N6" i="3"/>
  <c r="N7" i="3"/>
  <c r="N12" i="3"/>
  <c r="N13" i="3"/>
  <c r="N14" i="3"/>
  <c r="N15" i="3"/>
  <c r="N16" i="3"/>
  <c r="K5" i="3"/>
  <c r="K6" i="3"/>
  <c r="K7" i="3"/>
  <c r="K12" i="3"/>
  <c r="K13" i="3"/>
  <c r="K14" i="3"/>
  <c r="K15" i="3"/>
  <c r="K16" i="3"/>
  <c r="G12" i="3"/>
  <c r="G13" i="3"/>
  <c r="G14" i="3"/>
  <c r="G15" i="3"/>
  <c r="D6" i="3"/>
  <c r="Q47" i="3"/>
  <c r="P47" i="3"/>
  <c r="J47" i="3"/>
  <c r="I47" i="3"/>
  <c r="C47" i="3"/>
  <c r="B47" i="3"/>
  <c r="Q56" i="3"/>
  <c r="P56" i="3"/>
  <c r="Q54" i="3"/>
  <c r="P54" i="3"/>
  <c r="Q53" i="3"/>
  <c r="P53" i="3"/>
  <c r="Q48" i="3"/>
  <c r="P48" i="3"/>
  <c r="Q46" i="3"/>
  <c r="P46" i="3"/>
  <c r="Q45" i="3"/>
  <c r="P45" i="3"/>
  <c r="J56" i="3"/>
  <c r="I56" i="3"/>
  <c r="J54" i="3"/>
  <c r="I54" i="3"/>
  <c r="J53" i="3"/>
  <c r="I53" i="3"/>
  <c r="J48" i="3"/>
  <c r="I48" i="3"/>
  <c r="J46" i="3"/>
  <c r="I46" i="3"/>
  <c r="J45" i="3"/>
  <c r="C56" i="3"/>
  <c r="B56" i="3"/>
  <c r="C54" i="3"/>
  <c r="B54" i="3"/>
  <c r="B53" i="3"/>
  <c r="C48" i="3"/>
  <c r="B48" i="3"/>
  <c r="C46" i="3"/>
  <c r="B46" i="3"/>
  <c r="C45" i="3"/>
  <c r="B45" i="3"/>
  <c r="P40" i="3"/>
  <c r="L40" i="3"/>
  <c r="M40" i="3"/>
  <c r="D4" i="3"/>
  <c r="U23" i="3"/>
  <c r="R23" i="3"/>
  <c r="N23" i="3"/>
  <c r="K23" i="3"/>
  <c r="G23" i="3"/>
  <c r="D23" i="3"/>
  <c r="U4" i="3"/>
  <c r="R4" i="3"/>
  <c r="N4" i="3"/>
  <c r="K4" i="3"/>
  <c r="G4" i="3"/>
  <c r="D7" i="3"/>
  <c r="D5" i="3"/>
  <c r="G7" i="3"/>
  <c r="G6" i="3"/>
  <c r="G5" i="3"/>
  <c r="Y9" i="3" l="1"/>
  <c r="R47" i="3"/>
  <c r="R55" i="3"/>
  <c r="K48" i="3"/>
  <c r="R48" i="3"/>
  <c r="AY4" i="5"/>
  <c r="BA4" i="5"/>
  <c r="R53" i="3"/>
  <c r="X5" i="3" a="1"/>
  <c r="X5" i="3" s="1"/>
  <c r="AA5" i="4" s="1"/>
  <c r="AC5" i="4" s="1"/>
  <c r="Y8" i="3"/>
  <c r="AA8" i="4"/>
  <c r="AC8" i="4" s="1"/>
  <c r="K47" i="3"/>
  <c r="AZ21" i="5"/>
  <c r="BA21" i="5"/>
  <c r="X23" i="3" a="1"/>
  <c r="X23" i="3" s="1"/>
  <c r="AA23" i="4" s="1"/>
  <c r="AC23" i="4" s="1"/>
  <c r="D48" i="3"/>
  <c r="X13" i="3" a="1"/>
  <c r="X13" i="3" s="1"/>
  <c r="AA13" i="4" s="1"/>
  <c r="AC13" i="4" s="1"/>
  <c r="AY8" i="5"/>
  <c r="AY26" i="5"/>
  <c r="AY10" i="5"/>
  <c r="AZ13" i="5"/>
  <c r="AZ18" i="5"/>
  <c r="AY19" i="5"/>
  <c r="AY16" i="5"/>
  <c r="AY17" i="5"/>
  <c r="AZ4" i="5"/>
  <c r="AY12" i="5"/>
  <c r="AY20" i="5"/>
  <c r="AZ15" i="5"/>
  <c r="AY21" i="5"/>
  <c r="AY7" i="5"/>
  <c r="AY5" i="5"/>
  <c r="AY6" i="5"/>
  <c r="AY11" i="5"/>
  <c r="X20" i="3" a="1"/>
  <c r="X20" i="3" s="1"/>
  <c r="AA20" i="4" s="1"/>
  <c r="AC20" i="4" s="1"/>
  <c r="X19" i="3" a="1"/>
  <c r="X19" i="3" s="1"/>
  <c r="X6" i="3" a="1"/>
  <c r="X6" i="3" s="1"/>
  <c r="D55" i="3"/>
  <c r="X18" i="3" a="1"/>
  <c r="X18" i="3" s="1"/>
  <c r="X12" i="3" a="1"/>
  <c r="X12" i="3" s="1"/>
  <c r="AA12" i="4" s="1"/>
  <c r="AC12" i="4" s="1"/>
  <c r="X22" i="3" a="1"/>
  <c r="X22" i="3" s="1"/>
  <c r="X4" i="3" a="1"/>
  <c r="X4" i="3" s="1"/>
  <c r="AA4" i="4" s="1"/>
  <c r="K54" i="3"/>
  <c r="X17" i="3" a="1"/>
  <c r="X17" i="3" s="1"/>
  <c r="AA17" i="4" s="1"/>
  <c r="AC17" i="4" s="1"/>
  <c r="X21" i="3" a="1"/>
  <c r="X21" i="3" s="1"/>
  <c r="X16" i="3" a="1"/>
  <c r="X16" i="3" s="1"/>
  <c r="AA16" i="4" s="1"/>
  <c r="AC16" i="4" s="1"/>
  <c r="X15" i="3" a="1"/>
  <c r="X15" i="3" s="1"/>
  <c r="AA15" i="4" s="1"/>
  <c r="AC15" i="4" s="1"/>
  <c r="X14" i="3" a="1"/>
  <c r="X14" i="3" s="1"/>
  <c r="AA14" i="4" s="1"/>
  <c r="AC14" i="4" s="1"/>
  <c r="K46" i="3"/>
  <c r="K55" i="3"/>
  <c r="U40" i="3"/>
  <c r="T35" i="3"/>
  <c r="T36" i="3" s="1"/>
  <c r="U36" i="3" s="1"/>
  <c r="E36" i="3"/>
  <c r="G36" i="3" s="1"/>
  <c r="X7" i="3" a="1"/>
  <c r="X7" i="3" s="1"/>
  <c r="AA7" i="4" s="1"/>
  <c r="AC7" i="4" s="1"/>
  <c r="D53" i="3"/>
  <c r="R45" i="3"/>
  <c r="R46" i="3"/>
  <c r="Y11" i="3"/>
  <c r="R54" i="3"/>
  <c r="R39" i="3"/>
  <c r="R56" i="3"/>
  <c r="I36" i="3"/>
  <c r="K45" i="3"/>
  <c r="D56" i="3"/>
  <c r="D54" i="3"/>
  <c r="D39" i="3"/>
  <c r="D28" i="3"/>
  <c r="R36" i="3"/>
  <c r="C36" i="3"/>
  <c r="D36" i="3" s="1"/>
  <c r="D45" i="3"/>
  <c r="C40" i="3"/>
  <c r="D40" i="3" s="1"/>
  <c r="K39" i="3"/>
  <c r="D46" i="3"/>
  <c r="D47" i="3"/>
  <c r="N40" i="3"/>
  <c r="K53" i="3"/>
  <c r="Q40" i="3"/>
  <c r="R40" i="3" s="1"/>
  <c r="L36" i="3"/>
  <c r="K40" i="3"/>
  <c r="N28" i="3"/>
  <c r="J36" i="3"/>
  <c r="K56" i="3"/>
  <c r="G28" i="3"/>
  <c r="H38" i="5"/>
  <c r="L38" i="5"/>
  <c r="AS38" i="5"/>
  <c r="BA17" i="5"/>
  <c r="X33" i="5"/>
  <c r="AP34" i="5"/>
  <c r="AP38" i="5"/>
  <c r="AL38" i="5"/>
  <c r="BA19" i="5"/>
  <c r="AD38" i="5"/>
  <c r="BA13" i="5"/>
  <c r="BA12" i="5"/>
  <c r="I34" i="5"/>
  <c r="BA8" i="5"/>
  <c r="W38" i="5"/>
  <c r="W43" i="5"/>
  <c r="X34" i="5"/>
  <c r="M36" i="3"/>
  <c r="Y10" i="3"/>
  <c r="G40" i="3"/>
  <c r="AY9" i="5"/>
  <c r="AZ9" i="5"/>
  <c r="X54" i="3" l="1" a="1"/>
  <c r="X54" i="3" s="1"/>
  <c r="AA54" i="4" s="1"/>
  <c r="AC54" i="4" s="1"/>
  <c r="X47" i="3" a="1"/>
  <c r="X47" i="3" s="1"/>
  <c r="Y47" i="3" s="1"/>
  <c r="X48" i="3" a="1"/>
  <c r="X48" i="3" s="1"/>
  <c r="AA48" i="4" s="1"/>
  <c r="X55" i="3" a="1"/>
  <c r="X55" i="3" s="1"/>
  <c r="AA55" i="4" s="1"/>
  <c r="AC55" i="4" s="1"/>
  <c r="Y21" i="3"/>
  <c r="AA21" i="4"/>
  <c r="AC21" i="4" s="1"/>
  <c r="Y19" i="3"/>
  <c r="AA19" i="4"/>
  <c r="AC19" i="4" s="1"/>
  <c r="Y6" i="3"/>
  <c r="AA6" i="4"/>
  <c r="AC6" i="4" s="1"/>
  <c r="Y13" i="3"/>
  <c r="Y22" i="3"/>
  <c r="AA22" i="4"/>
  <c r="AC22" i="4" s="1"/>
  <c r="Y23" i="3"/>
  <c r="Y18" i="3"/>
  <c r="AA18" i="4"/>
  <c r="AC18" i="4" s="1"/>
  <c r="BC8" i="5"/>
  <c r="BQ8" i="5" s="1"/>
  <c r="BC13" i="5"/>
  <c r="BQ13" i="5" s="1"/>
  <c r="X53" i="3" a="1"/>
  <c r="X53" i="3" s="1"/>
  <c r="Y53" i="3" s="1"/>
  <c r="BC19" i="5"/>
  <c r="BC17" i="5"/>
  <c r="BQ17" i="5" s="1"/>
  <c r="BC12" i="5"/>
  <c r="BQ12" i="5" s="1"/>
  <c r="X46" i="3" a="1"/>
  <c r="X46" i="3" s="1"/>
  <c r="Y46" i="3" s="1"/>
  <c r="Y4" i="3"/>
  <c r="U35" i="3"/>
  <c r="K36" i="3"/>
  <c r="X36" i="3" s="1" a="1"/>
  <c r="X36" i="3" s="1"/>
  <c r="Y7" i="3"/>
  <c r="X28" i="3" a="1"/>
  <c r="X28" i="3" s="1"/>
  <c r="X45" i="3" a="1"/>
  <c r="X45" i="3" s="1"/>
  <c r="AA45" i="4" s="1"/>
  <c r="X56" i="3" a="1"/>
  <c r="X56" i="3" s="1"/>
  <c r="X40" i="3" a="1"/>
  <c r="X40" i="3" s="1"/>
  <c r="AA40" i="4" s="1"/>
  <c r="Y17" i="3"/>
  <c r="N36" i="3"/>
  <c r="Y5" i="3"/>
  <c r="Y16" i="3"/>
  <c r="I33" i="5"/>
  <c r="AP33" i="5"/>
  <c r="BP20" i="5"/>
  <c r="BA6" i="5"/>
  <c r="BC6" i="5" s="1"/>
  <c r="BQ6" i="5" s="1"/>
  <c r="BA16" i="5"/>
  <c r="BC16" i="5" s="1"/>
  <c r="BQ16" i="5" s="1"/>
  <c r="BA20" i="5"/>
  <c r="BC20" i="5" s="1"/>
  <c r="BA5" i="5"/>
  <c r="BC5" i="5" s="1"/>
  <c r="BQ5" i="5" s="1"/>
  <c r="AM33" i="5"/>
  <c r="AS33" i="5"/>
  <c r="AB40" i="4"/>
  <c r="BA7" i="5"/>
  <c r="BC7" i="5" s="1"/>
  <c r="BQ7" i="5" s="1"/>
  <c r="AA33" i="5"/>
  <c r="AD33" i="5"/>
  <c r="T45" i="5"/>
  <c r="W45" i="5"/>
  <c r="BA10" i="5"/>
  <c r="BC10" i="5" s="1"/>
  <c r="BQ10" i="5" s="1"/>
  <c r="E52" i="5"/>
  <c r="AB4" i="4"/>
  <c r="AC4" i="4" s="1"/>
  <c r="BC4" i="5"/>
  <c r="BA11" i="5"/>
  <c r="BC11" i="5" s="1"/>
  <c r="BQ11" i="5" s="1"/>
  <c r="E44" i="5"/>
  <c r="E50" i="5"/>
  <c r="O33" i="5"/>
  <c r="L33" i="5"/>
  <c r="W52" i="5"/>
  <c r="T52" i="5"/>
  <c r="E45" i="5"/>
  <c r="B33" i="5"/>
  <c r="B34" i="5"/>
  <c r="AL44" i="5"/>
  <c r="AI44" i="5"/>
  <c r="BP4" i="5"/>
  <c r="AI52" i="5"/>
  <c r="AL52" i="5"/>
  <c r="E51" i="5"/>
  <c r="AF34" i="5"/>
  <c r="AF33" i="5"/>
  <c r="W44" i="5"/>
  <c r="T44" i="5"/>
  <c r="Q33" i="5"/>
  <c r="Q34" i="5"/>
  <c r="AL45" i="5"/>
  <c r="AI45" i="5"/>
  <c r="BA18" i="5"/>
  <c r="BC18" i="5" s="1"/>
  <c r="BQ18" i="5" s="1"/>
  <c r="AL43" i="5"/>
  <c r="AI43" i="5"/>
  <c r="BA9" i="5"/>
  <c r="BC9" i="5" s="1"/>
  <c r="BQ9" i="5" s="1"/>
  <c r="AI50" i="5"/>
  <c r="AL50" i="5"/>
  <c r="W50" i="5"/>
  <c r="T50" i="5"/>
  <c r="AL33" i="5"/>
  <c r="AI33" i="5"/>
  <c r="AA34" i="5"/>
  <c r="AD34" i="5"/>
  <c r="E43" i="5"/>
  <c r="AL51" i="5"/>
  <c r="AI51" i="5"/>
  <c r="W51" i="5"/>
  <c r="T51" i="5"/>
  <c r="AV38" i="5" a="1"/>
  <c r="AV38" i="5" s="1"/>
  <c r="Y12" i="3"/>
  <c r="Y15" i="3"/>
  <c r="Y20" i="3"/>
  <c r="Y14" i="3"/>
  <c r="BO19" i="5" a="1"/>
  <c r="BO19" i="5" s="1"/>
  <c r="BP19" i="5" s="1"/>
  <c r="AA47" i="4" l="1"/>
  <c r="Y48" i="3"/>
  <c r="Y54" i="3"/>
  <c r="Y55" i="3"/>
  <c r="AA53" i="4"/>
  <c r="Y56" i="3"/>
  <c r="AA56" i="4"/>
  <c r="AC56" i="4" s="1"/>
  <c r="Y28" i="3"/>
  <c r="AA28" i="4"/>
  <c r="AC28" i="4" s="1"/>
  <c r="BQ19" i="5"/>
  <c r="AA46" i="4"/>
  <c r="Y36" i="3"/>
  <c r="Y40" i="3"/>
  <c r="AC40" i="4"/>
  <c r="Y45" i="3"/>
  <c r="BQ20" i="5"/>
  <c r="BQ4" i="5"/>
  <c r="AM34" i="5"/>
  <c r="AS34" i="5"/>
  <c r="BA26" i="5"/>
  <c r="BA15" i="5"/>
  <c r="O34" i="5"/>
  <c r="L34" i="5"/>
  <c r="BP21" i="5"/>
  <c r="H50" i="5"/>
  <c r="AV50" i="5" s="1" a="1"/>
  <c r="AV50" i="5" s="1"/>
  <c r="H44" i="5"/>
  <c r="AV44" i="5" s="1" a="1"/>
  <c r="AV44" i="5" s="1"/>
  <c r="BO38" i="5"/>
  <c r="AY38" i="5"/>
  <c r="BC38" i="5" s="1"/>
  <c r="BQ38" i="5" s="1"/>
  <c r="E33" i="5"/>
  <c r="H33" i="5"/>
  <c r="AL34" i="5"/>
  <c r="AI34" i="5"/>
  <c r="H43" i="5"/>
  <c r="AV43" i="5" s="1" a="1"/>
  <c r="AV43" i="5" s="1"/>
  <c r="W33" i="5"/>
  <c r="T33" i="5"/>
  <c r="H45" i="5"/>
  <c r="AV45" i="5" s="1" a="1"/>
  <c r="AV45" i="5" s="1"/>
  <c r="H51" i="5"/>
  <c r="AV51" i="5" s="1" a="1"/>
  <c r="AV51" i="5" s="1"/>
  <c r="H52" i="5"/>
  <c r="AV52" i="5" s="1" a="1"/>
  <c r="AV52" i="5" s="1"/>
  <c r="BC26" i="5" l="1"/>
  <c r="BQ26" i="5" s="1"/>
  <c r="AA36" i="4"/>
  <c r="AB45" i="4"/>
  <c r="AC45" i="4" s="1"/>
  <c r="BO52" i="5"/>
  <c r="AY52" i="5"/>
  <c r="BC52" i="5" s="1"/>
  <c r="BQ52" i="5" s="1"/>
  <c r="E34" i="5"/>
  <c r="AB48" i="4"/>
  <c r="AC48" i="4" s="1"/>
  <c r="BQ21" i="5"/>
  <c r="BC21" i="5"/>
  <c r="BC15" i="5"/>
  <c r="BQ15" i="5" s="1"/>
  <c r="W34" i="5"/>
  <c r="T34" i="5"/>
  <c r="AB53" i="4"/>
  <c r="AC53" i="4" s="1"/>
  <c r="AY50" i="5"/>
  <c r="BC50" i="5" s="1"/>
  <c r="BQ50" i="5" s="1"/>
  <c r="BO50" i="5"/>
  <c r="AY45" i="5"/>
  <c r="BC45" i="5" s="1"/>
  <c r="BQ45" i="5" s="1"/>
  <c r="BO45" i="5"/>
  <c r="BO43" i="5"/>
  <c r="AY43" i="5"/>
  <c r="BC43" i="5" s="1"/>
  <c r="BQ43" i="5" s="1"/>
  <c r="AB47" i="4"/>
  <c r="AC47" i="4" s="1"/>
  <c r="BO51" i="5"/>
  <c r="AY51" i="5"/>
  <c r="BC51" i="5" s="1"/>
  <c r="BQ51" i="5" s="1"/>
  <c r="AB46" i="4"/>
  <c r="AC46" i="4" s="1"/>
  <c r="BO44" i="5"/>
  <c r="AY44" i="5"/>
  <c r="BC44" i="5" s="1"/>
  <c r="BQ44" i="5" s="1"/>
  <c r="H34" i="5" l="1"/>
  <c r="AV34" i="5" s="1" a="1"/>
  <c r="AV34" i="5" s="1"/>
  <c r="AB36" i="4" l="1"/>
  <c r="AC36" i="4" s="1"/>
  <c r="AY34" i="5"/>
  <c r="BC34" i="5" s="1"/>
  <c r="BQ34" i="5" s="1"/>
  <c r="BO34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<sst xmlns="http://schemas.openxmlformats.org/spreadsheetml/2006/main" count="688" uniqueCount="58">
  <si>
    <t>Vendedor</t>
  </si>
  <si>
    <t>Salário</t>
  </si>
  <si>
    <t>Ivan Bachiegga</t>
  </si>
  <si>
    <t>Larissa Bastos</t>
  </si>
  <si>
    <t>Antonio Martins</t>
  </si>
  <si>
    <t>Renata Magalhães</t>
  </si>
  <si>
    <t>Coordenador</t>
  </si>
  <si>
    <t>Luana Tourinho</t>
  </si>
  <si>
    <t>Mateus Dias</t>
  </si>
  <si>
    <t>Jonas Borges</t>
  </si>
  <si>
    <t>Bruno Andrade</t>
  </si>
  <si>
    <t>Meta</t>
  </si>
  <si>
    <t>Realizado</t>
  </si>
  <si>
    <t>%</t>
  </si>
  <si>
    <t>Faturamento</t>
  </si>
  <si>
    <t>Positivação</t>
  </si>
  <si>
    <t>Caffeine</t>
  </si>
  <si>
    <t>Sublyme</t>
  </si>
  <si>
    <t>Koala</t>
  </si>
  <si>
    <t>Multiplicador</t>
  </si>
  <si>
    <t>Variável</t>
  </si>
  <si>
    <t>Antes</t>
  </si>
  <si>
    <t>Depois</t>
  </si>
  <si>
    <t>Trade</t>
  </si>
  <si>
    <t>Fernando Takahashi</t>
  </si>
  <si>
    <t>Marcelo Martins</t>
  </si>
  <si>
    <t>Inteligência Com.</t>
  </si>
  <si>
    <t>Lucila Sá</t>
  </si>
  <si>
    <t>Allan Costa</t>
  </si>
  <si>
    <t>Tamires Moreira</t>
  </si>
  <si>
    <t>Rafael Macena</t>
  </si>
  <si>
    <t>Leticia Kuae</t>
  </si>
  <si>
    <t>Breno Gargur</t>
  </si>
  <si>
    <t>Debora Boaventura</t>
  </si>
  <si>
    <t>Felipe Caldas</t>
  </si>
  <si>
    <t>Gabriel Muller</t>
  </si>
  <si>
    <t>Gerente</t>
  </si>
  <si>
    <t>Julia Lira</t>
  </si>
  <si>
    <t>Lucca Cirne</t>
  </si>
  <si>
    <t>Bianca Meireles</t>
  </si>
  <si>
    <t>Lucas Giamellaro</t>
  </si>
  <si>
    <t>Saulo Souza</t>
  </si>
  <si>
    <t>Luana Cysneiros</t>
  </si>
  <si>
    <t>Ana Carolina Nunes</t>
  </si>
  <si>
    <t>TT</t>
  </si>
  <si>
    <t>TT Trimeste</t>
  </si>
  <si>
    <t>TT A PAGAR</t>
  </si>
  <si>
    <t>Dezembro</t>
  </si>
  <si>
    <t>Novembro</t>
  </si>
  <si>
    <t>Outubro</t>
  </si>
  <si>
    <t>Matheus dos Santos</t>
  </si>
  <si>
    <t>Andressa Esposito</t>
  </si>
  <si>
    <t>Gabriela Pinheiro</t>
  </si>
  <si>
    <t>Guilherme D'Almeida</t>
  </si>
  <si>
    <t>Eduardo Carneiro</t>
  </si>
  <si>
    <t>% Fat</t>
  </si>
  <si>
    <t>% POS</t>
  </si>
  <si>
    <t>Tirar Disty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</si>
</sst>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\ #,##0.00;\-&quot;R$&quot;\ #,##0.00"/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8B68"/>
        <bgColor indexed="64"/>
      </patternFill>
    </fill>
    <fill>
      <patternFill patternType="solid">
        <fgColor rgb="FFFF3B95"/>
        <bgColor indexed="64"/>
      </patternFill>
    </fill>
    <fill>
      <patternFill patternType="solid">
        <fgColor rgb="FF9594D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3">
    <xf numFmtId="0" fontId="0" fillId="0" borderId="0" xfId="0"/>
    <xf numFmtId="0" fontId="0" fillId="0" borderId="0" xfId="0" applyAlignment="1">
      <alignment horizontal="center"/>
    </xf>
    <xf numFmtId="0" fontId="2" fillId="4" borderId="0" xfId="0" applyFont="1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  <xf numFmtId="9" fontId="0" fillId="0" borderId="0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9" fontId="0" fillId="0" borderId="7" xfId="2" applyFont="1" applyBorder="1" applyAlignment="1">
      <alignment horizontal="center"/>
    </xf>
    <xf numFmtId="9" fontId="0" fillId="0" borderId="8" xfId="2" applyFont="1" applyBorder="1" applyAlignment="1">
      <alignment horizontal="center"/>
    </xf>
    <xf numFmtId="7" fontId="0" fillId="0" borderId="4" xfId="0" applyNumberFormat="1" applyBorder="1" applyAlignment="1">
      <alignment horizontal="center"/>
    </xf>
    <xf numFmtId="7" fontId="0" fillId="0" borderId="0" xfId="0" applyNumberFormat="1" applyAlignment="1">
      <alignment horizontal="center"/>
    </xf>
    <xf numFmtId="7" fontId="0" fillId="0" borderId="6" xfId="0" applyNumberFormat="1" applyBorder="1" applyAlignment="1">
      <alignment horizontal="center"/>
    </xf>
    <xf numFmtId="7" fontId="0" fillId="0" borderId="7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0" fontId="2" fillId="2" borderId="0" xfId="0" applyFont="1" applyFill="1"/>
    <xf numFmtId="0" fontId="2" fillId="8" borderId="0" xfId="0" applyFont="1" applyFill="1"/>
    <xf numFmtId="9" fontId="0" fillId="0" borderId="0" xfId="2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10" fontId="0" fillId="0" borderId="7" xfId="2" applyNumberFormat="1" applyFont="1" applyBorder="1" applyAlignment="1">
      <alignment horizontal="center"/>
    </xf>
    <xf numFmtId="44" fontId="0" fillId="2" borderId="4" xfId="1" applyFont="1" applyFill="1" applyBorder="1" applyAlignment="1">
      <alignment horizontal="center"/>
    </xf>
    <xf numFmtId="44" fontId="0" fillId="2" borderId="6" xfId="1" applyFont="1" applyFill="1" applyBorder="1" applyAlignment="1">
      <alignment horizontal="center"/>
    </xf>
    <xf numFmtId="44" fontId="0" fillId="3" borderId="5" xfId="1" applyFont="1" applyFill="1" applyBorder="1" applyAlignment="1">
      <alignment horizontal="center"/>
    </xf>
    <xf numFmtId="44" fontId="0" fillId="3" borderId="8" xfId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7" xfId="0" applyNumberFormat="1" applyBorder="1" applyAlignment="1">
      <alignment horizontal="center"/>
    </xf>
    <xf numFmtId="9" fontId="0" fillId="0" borderId="0" xfId="2" applyFont="1" applyFill="1" applyBorder="1" applyAlignment="1" applyProtection="1">
      <alignment horizontal="center"/>
    </xf>
    <xf numFmtId="44" fontId="0" fillId="2" borderId="4" xfId="1" applyFont="1" applyFill="1" applyBorder="1" applyAlignment="1" applyProtection="1">
      <alignment horizontal="center"/>
    </xf>
    <xf numFmtId="10" fontId="0" fillId="0" borderId="4" xfId="0" applyNumberFormat="1" applyBorder="1"/>
    <xf numFmtId="10" fontId="0" fillId="0" borderId="0" xfId="0" applyNumberFormat="1"/>
    <xf numFmtId="10" fontId="0" fillId="0" borderId="5" xfId="0" applyNumberFormat="1" applyBorder="1"/>
    <xf numFmtId="44" fontId="0" fillId="0" borderId="0" xfId="0" applyNumberFormat="1"/>
    <xf numFmtId="10" fontId="0" fillId="0" borderId="6" xfId="0" applyNumberFormat="1" applyBorder="1"/>
    <xf numFmtId="10" fontId="0" fillId="0" borderId="7" xfId="0" applyNumberFormat="1" applyBorder="1"/>
    <xf numFmtId="10" fontId="0" fillId="0" borderId="8" xfId="0" applyNumberFormat="1" applyBorder="1"/>
    <xf numFmtId="9" fontId="0" fillId="0" borderId="0" xfId="0" applyNumberFormat="1" applyAlignment="1">
      <alignment horizontal="center"/>
    </xf>
    <xf numFmtId="10" fontId="0" fillId="0" borderId="0" xfId="2" applyNumberFormat="1" applyFont="1" applyFill="1" applyBorder="1" applyAlignment="1">
      <alignment horizontal="center"/>
    </xf>
    <xf numFmtId="44" fontId="0" fillId="0" borderId="0" xfId="1" applyFont="1" applyFill="1" applyBorder="1" applyAlignment="1">
      <alignment horizontal="center"/>
    </xf>
    <xf numFmtId="9" fontId="0" fillId="0" borderId="0" xfId="0" applyNumberFormat="1"/>
    <xf numFmtId="0" fontId="0" fillId="0" borderId="7" xfId="0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44" fontId="0" fillId="3" borderId="0" xfId="1" applyFont="1" applyFill="1" applyBorder="1" applyAlignment="1">
      <alignment horizontal="center"/>
    </xf>
    <xf numFmtId="7" fontId="2" fillId="2" borderId="4" xfId="0" applyNumberFormat="1" applyFont="1" applyFill="1" applyBorder="1" applyAlignment="1">
      <alignment horizontal="center"/>
    </xf>
    <xf numFmtId="7" fontId="2" fillId="2" borderId="0" xfId="0" applyNumberFormat="1" applyFont="1" applyFill="1" applyAlignment="1">
      <alignment horizontal="center"/>
    </xf>
    <xf numFmtId="9" fontId="2" fillId="2" borderId="0" xfId="2" applyFont="1" applyFill="1" applyBorder="1" applyAlignment="1">
      <alignment horizontal="center"/>
    </xf>
    <xf numFmtId="1" fontId="2" fillId="2" borderId="0" xfId="0" applyNumberFormat="1" applyFont="1" applyFill="1" applyAlignment="1">
      <alignment horizontal="center"/>
    </xf>
    <xf numFmtId="9" fontId="2" fillId="2" borderId="5" xfId="2" applyFont="1" applyFill="1" applyBorder="1" applyAlignment="1">
      <alignment horizontal="center"/>
    </xf>
    <xf numFmtId="7" fontId="2" fillId="2" borderId="6" xfId="0" applyNumberFormat="1" applyFont="1" applyFill="1" applyBorder="1" applyAlignment="1">
      <alignment horizontal="center"/>
    </xf>
    <xf numFmtId="7" fontId="2" fillId="2" borderId="7" xfId="0" applyNumberFormat="1" applyFont="1" applyFill="1" applyBorder="1" applyAlignment="1">
      <alignment horizontal="center"/>
    </xf>
    <xf numFmtId="9" fontId="2" fillId="2" borderId="7" xfId="2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9" fontId="2" fillId="2" borderId="8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44" fontId="0" fillId="0" borderId="4" xfId="1" applyFont="1" applyFill="1" applyBorder="1" applyAlignment="1">
      <alignment horizontal="center"/>
    </xf>
    <xf numFmtId="9" fontId="1" fillId="0" borderId="0" xfId="2" applyFont="1" applyFill="1" applyBorder="1" applyAlignment="1">
      <alignment horizontal="center"/>
    </xf>
    <xf numFmtId="44" fontId="1" fillId="0" borderId="4" xfId="1" applyFont="1" applyFill="1" applyBorder="1" applyAlignment="1">
      <alignment horizontal="center"/>
    </xf>
    <xf numFmtId="44" fontId="1" fillId="0" borderId="0" xfId="1" applyFont="1" applyFill="1" applyBorder="1" applyAlignment="1">
      <alignment horizontal="center"/>
    </xf>
    <xf numFmtId="9" fontId="0" fillId="0" borderId="5" xfId="2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7" fontId="0" fillId="0" borderId="0" xfId="0" applyNumberFormat="1"/>
    <xf numFmtId="7" fontId="1" fillId="0" borderId="4" xfId="1" applyNumberFormat="1" applyFont="1" applyFill="1" applyBorder="1" applyAlignment="1">
      <alignment horizontal="center"/>
    </xf>
    <xf numFmtId="7" fontId="0" fillId="0" borderId="4" xfId="1" applyNumberFormat="1" applyFont="1" applyFill="1" applyBorder="1" applyAlignment="1">
      <alignment horizontal="center"/>
    </xf>
    <xf numFmtId="44" fontId="2" fillId="2" borderId="4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44" fontId="0" fillId="3" borderId="10" xfId="1" applyFont="1" applyFill="1" applyBorder="1" applyAlignment="1">
      <alignment horizontal="center"/>
    </xf>
    <xf numFmtId="9" fontId="0" fillId="0" borderId="4" xfId="2" applyFont="1" applyBorder="1" applyAlignment="1">
      <alignment horizontal="center"/>
    </xf>
    <xf numFmtId="44" fontId="0" fillId="9" borderId="5" xfId="0" applyNumberFormat="1" applyFill="1" applyBorder="1" applyAlignment="1">
      <alignment horizontal="center"/>
    </xf>
    <xf numFmtId="44" fontId="0" fillId="3" borderId="7" xfId="1" applyFont="1" applyFill="1" applyBorder="1" applyAlignment="1">
      <alignment horizontal="center"/>
    </xf>
    <xf numFmtId="44" fontId="0" fillId="3" borderId="11" xfId="1" applyFont="1" applyFill="1" applyBorder="1" applyAlignment="1">
      <alignment horizontal="center"/>
    </xf>
    <xf numFmtId="9" fontId="0" fillId="0" borderId="6" xfId="2" applyFont="1" applyBorder="1" applyAlignment="1">
      <alignment horizontal="center"/>
    </xf>
    <xf numFmtId="44" fontId="0" fillId="9" borderId="8" xfId="0" applyNumberFormat="1" applyFill="1" applyBorder="1" applyAlignment="1">
      <alignment horizontal="center"/>
    </xf>
    <xf numFmtId="44" fontId="0" fillId="2" borderId="4" xfId="0" applyNumberFormat="1" applyFill="1" applyBorder="1" applyAlignment="1">
      <alignment horizontal="center"/>
    </xf>
    <xf numFmtId="44" fontId="0" fillId="2" borderId="6" xfId="0" applyNumberFormat="1" applyFill="1" applyBorder="1" applyAlignment="1">
      <alignment horizontal="center"/>
    </xf>
    <xf numFmtId="9" fontId="2" fillId="0" borderId="0" xfId="2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44" fontId="2" fillId="2" borderId="0" xfId="0" applyNumberFormat="1" applyFont="1" applyFill="1" applyAlignment="1">
      <alignment horizontal="center"/>
    </xf>
    <xf numFmtId="44" fontId="2" fillId="2" borderId="4" xfId="1" applyFont="1" applyFill="1" applyBorder="1" applyAlignment="1">
      <alignment horizontal="center"/>
    </xf>
    <xf numFmtId="10" fontId="2" fillId="0" borderId="0" xfId="2" applyNumberFormat="1" applyFont="1" applyBorder="1" applyAlignment="1">
      <alignment horizontal="center"/>
    </xf>
    <xf numFmtId="4" fontId="2" fillId="0" borderId="0" xfId="2" applyNumberFormat="1" applyFont="1" applyBorder="1" applyAlignment="1">
      <alignment horizontal="center"/>
    </xf>
    <xf numFmtId="4" fontId="2" fillId="3" borderId="0" xfId="1" applyNumberFormat="1" applyFont="1" applyFill="1" applyBorder="1" applyAlignment="1">
      <alignment horizontal="center"/>
    </xf>
    <xf numFmtId="4" fontId="2" fillId="3" borderId="5" xfId="1" applyNumberFormat="1" applyFont="1" applyFill="1" applyBorder="1" applyAlignment="1">
      <alignment horizontal="center"/>
    </xf>
    <xf numFmtId="4" fontId="2" fillId="0" borderId="0" xfId="0" applyNumberFormat="1" applyFont="1" applyAlignment="1">
      <alignment horizontal="center"/>
    </xf>
    <xf numFmtId="4" fontId="0" fillId="3" borderId="0" xfId="1" applyNumberFormat="1" applyFont="1" applyFill="1" applyBorder="1" applyAlignment="1">
      <alignment horizontal="center"/>
    </xf>
    <xf numFmtId="44" fontId="0" fillId="9" borderId="5" xfId="1" applyFont="1" applyFill="1" applyBorder="1" applyAlignment="1">
      <alignment horizontal="center"/>
    </xf>
    <xf numFmtId="44" fontId="0" fillId="0" borderId="5" xfId="1" applyFont="1" applyFill="1" applyBorder="1" applyAlignment="1">
      <alignment horizontal="center"/>
    </xf>
    <xf numFmtId="44" fontId="0" fillId="0" borderId="10" xfId="1" applyFont="1" applyFill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44" fontId="2" fillId="2" borderId="6" xfId="0" applyNumberFormat="1" applyFont="1" applyFill="1" applyBorder="1" applyAlignment="1">
      <alignment horizontal="center"/>
    </xf>
    <xf numFmtId="10" fontId="2" fillId="0" borderId="7" xfId="2" applyNumberFormat="1" applyFont="1" applyBorder="1" applyAlignment="1">
      <alignment horizontal="center"/>
    </xf>
    <xf numFmtId="44" fontId="2" fillId="3" borderId="7" xfId="1" applyFont="1" applyFill="1" applyBorder="1" applyAlignment="1">
      <alignment horizontal="center"/>
    </xf>
    <xf numFmtId="44" fontId="2" fillId="3" borderId="8" xfId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9" fontId="2" fillId="0" borderId="5" xfId="2" applyFont="1" applyBorder="1" applyAlignment="1">
      <alignment horizontal="center"/>
    </xf>
    <xf numFmtId="44" fontId="0" fillId="0" borderId="0" xfId="1" applyFont="1" applyAlignment="1">
      <alignment horizontal="center"/>
    </xf>
    <xf numFmtId="44" fontId="0" fillId="0" borderId="4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44" fontId="2" fillId="2" borderId="0" xfId="1" applyFont="1" applyFill="1" applyAlignment="1">
      <alignment horizontal="center"/>
    </xf>
    <xf numFmtId="44" fontId="2" fillId="2" borderId="7" xfId="1" applyFont="1" applyFill="1" applyBorder="1" applyAlignment="1">
      <alignment horizontal="center"/>
    </xf>
    <xf numFmtId="9" fontId="2" fillId="2" borderId="0" xfId="2" applyFont="1" applyFill="1" applyAlignment="1">
      <alignment horizontal="center"/>
    </xf>
    <xf numFmtId="9" fontId="2" fillId="0" borderId="0" xfId="2" applyFont="1" applyAlignment="1">
      <alignment horizontal="center"/>
    </xf>
    <xf numFmtId="9" fontId="0" fillId="0" borderId="0" xfId="2" applyFont="1" applyAlignment="1">
      <alignment horizontal="center"/>
    </xf>
    <xf numFmtId="9" fontId="1" fillId="0" borderId="5" xfId="2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2" fillId="2" borderId="6" xfId="1" applyFont="1" applyFill="1" applyBorder="1" applyAlignment="1">
      <alignment horizontal="center"/>
    </xf>
    <xf numFmtId="9" fontId="1" fillId="0" borderId="0" xfId="2" applyFont="1" applyAlignment="1">
      <alignment horizontal="center"/>
    </xf>
    <xf numFmtId="1" fontId="0" fillId="0" borderId="0" xfId="2" applyNumberFormat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3" fontId="0" fillId="0" borderId="0" xfId="2" applyNumberFormat="1" applyFont="1" applyBorder="1" applyAlignment="1">
      <alignment horizontal="center"/>
    </xf>
    <xf numFmtId="3" fontId="0" fillId="0" borderId="7" xfId="2" applyNumberFormat="1" applyFont="1" applyBorder="1" applyAlignment="1">
      <alignment horizontal="center"/>
    </xf>
    <xf numFmtId="1" fontId="0" fillId="0" borderId="7" xfId="2" applyNumberFormat="1" applyFont="1" applyBorder="1" applyAlignment="1">
      <alignment horizontal="center"/>
    </xf>
    <xf numFmtId="9" fontId="0" fillId="0" borderId="7" xfId="0" applyNumberFormat="1" applyBorder="1" applyAlignment="1">
      <alignment horizontal="center"/>
    </xf>
    <xf numFmtId="1" fontId="0" fillId="0" borderId="7" xfId="1" applyNumberFormat="1" applyFont="1" applyBorder="1" applyAlignment="1">
      <alignment horizontal="center"/>
    </xf>
    <xf numFmtId="10" fontId="0" fillId="0" borderId="7" xfId="2" applyNumberFormat="1" applyFont="1" applyFill="1" applyBorder="1" applyAlignment="1">
      <alignment horizontal="center"/>
    </xf>
    <xf numFmtId="4" fontId="0" fillId="0" borderId="0" xfId="0" applyNumberFormat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5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colors>
    <mruColors>
      <color rgb="FF9594D2"/>
      <color rgb="FFFF3B95"/>
      <color rgb="FFC58B68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A48E-88A3-4EDD-AF4A-2B95C15FE0A8}">
  <dimension ref="A1:AH56"/>
  <sheetViews>
    <sheetView showGridLines="0" tabSelected="1" topLeftCell="D35" zoomScale="83" zoomScaleNormal="100" workbookViewId="0">
      <selection sqref="A1:Y56"/>
    </sheetView>
  </sheetViews>
  <sheetFormatPr defaultRowHeight="15" x14ac:dyDescent="0.25"/>
  <cols>
    <col min="1" max="1" width="19.42578125" bestFit="1" customWidth="1"/>
    <col min="2" max="3" width="17.140625" style="1" bestFit="1" customWidth="1"/>
    <col min="4" max="7" width="9.140625" style="1"/>
    <col min="8" max="8" width="1.42578125" style="1" customWidth="1"/>
    <col min="9" max="10" width="16.140625" style="1" bestFit="1" customWidth="1"/>
    <col min="11" max="14" width="9.140625" style="1"/>
    <col min="15" max="15" width="1.42578125" style="1" customWidth="1"/>
    <col min="16" max="16" width="15.85546875" style="1" bestFit="1" customWidth="1"/>
    <col min="17" max="17" width="16.140625" style="1" bestFit="1" customWidth="1"/>
    <col min="18" max="21" width="9.140625" style="1"/>
    <col min="22" max="22" width="1.42578125" customWidth="1"/>
    <col min="23" max="23" width="12.140625" style="1" bestFit="1" customWidth="1"/>
    <col min="24" max="24" width="12.85546875" style="1" bestFit="1" customWidth="1"/>
    <col min="25" max="25" width="13.42578125" style="1" bestFit="1" customWidth="1"/>
    <col min="26" max="26" width="1.42578125" customWidth="1"/>
  </cols>
  <sheetData>
    <row r="1" spans="1:34" s="3" customFormat="1" x14ac:dyDescent="0.25">
      <c r="A1" s="2"/>
      <c r="B1" s="152" t="s">
        <v>16</v>
      </c>
      <c r="C1" s="153"/>
      <c r="D1" s="153"/>
      <c r="E1" s="153"/>
      <c r="F1" s="153"/>
      <c r="G1" s="154"/>
      <c r="H1" s="4"/>
      <c r="I1" s="155" t="s">
        <v>17</v>
      </c>
      <c r="J1" s="156"/>
      <c r="K1" s="156"/>
      <c r="L1" s="156"/>
      <c r="M1" s="156"/>
      <c r="N1" s="157"/>
      <c r="O1" s="4"/>
      <c r="P1" s="158" t="s">
        <v>18</v>
      </c>
      <c r="Q1" s="159"/>
      <c r="R1" s="159"/>
      <c r="S1" s="159"/>
      <c r="T1" s="159"/>
      <c r="U1" s="160"/>
      <c r="W1" s="134" t="s">
        <v>20</v>
      </c>
      <c r="X1" s="135"/>
      <c r="Y1" s="136"/>
    </row>
    <row r="2" spans="1:34" s="3" customFormat="1" x14ac:dyDescent="0.25">
      <c r="A2" s="21"/>
      <c r="B2" s="137" t="s">
        <v>14</v>
      </c>
      <c r="C2" s="138"/>
      <c r="D2" s="138"/>
      <c r="E2" s="138" t="s">
        <v>15</v>
      </c>
      <c r="F2" s="138"/>
      <c r="G2" s="139"/>
      <c r="H2" s="4"/>
      <c r="I2" s="137" t="s">
        <v>14</v>
      </c>
      <c r="J2" s="138"/>
      <c r="K2" s="138"/>
      <c r="L2" s="138" t="s">
        <v>15</v>
      </c>
      <c r="M2" s="138"/>
      <c r="N2" s="139"/>
      <c r="O2" s="4"/>
      <c r="P2" s="137" t="s">
        <v>14</v>
      </c>
      <c r="Q2" s="138"/>
      <c r="R2" s="138"/>
      <c r="S2" s="138" t="s">
        <v>15</v>
      </c>
      <c r="T2" s="138"/>
      <c r="U2" s="139"/>
      <c r="W2" s="5"/>
      <c r="X2" s="6"/>
      <c r="Y2" s="7"/>
    </row>
    <row r="3" spans="1:34" s="3" customFormat="1" x14ac:dyDescent="0.25">
      <c r="A3" s="20" t="s">
        <v>0</v>
      </c>
      <c r="B3" s="8" t="s">
        <v>11</v>
      </c>
      <c r="C3" s="9" t="s">
        <v>12</v>
      </c>
      <c r="D3" s="9" t="s">
        <v>13</v>
      </c>
      <c r="E3" s="9" t="s">
        <v>11</v>
      </c>
      <c r="F3" s="9" t="s">
        <v>12</v>
      </c>
      <c r="G3" s="10" t="s">
        <v>13</v>
      </c>
      <c r="H3" s="4"/>
      <c r="I3" s="8" t="s">
        <v>11</v>
      </c>
      <c r="J3" s="9" t="s">
        <v>12</v>
      </c>
      <c r="K3" s="9" t="s">
        <v>13</v>
      </c>
      <c r="L3" s="9" t="s">
        <v>11</v>
      </c>
      <c r="M3" s="9" t="s">
        <v>12</v>
      </c>
      <c r="N3" s="10" t="s">
        <v>13</v>
      </c>
      <c r="O3" s="4"/>
      <c r="P3" s="8" t="s">
        <v>11</v>
      </c>
      <c r="Q3" s="9" t="s">
        <v>12</v>
      </c>
      <c r="R3" s="9" t="s">
        <v>13</v>
      </c>
      <c r="S3" s="9" t="s">
        <v>11</v>
      </c>
      <c r="T3" s="9" t="s">
        <v>12</v>
      </c>
      <c r="U3" s="10" t="s">
        <v>13</v>
      </c>
      <c r="W3" s="8" t="s">
        <v>1</v>
      </c>
      <c r="X3" s="9" t="s">
        <v>19</v>
      </c>
      <c r="Y3" s="10" t="s">
        <v>20</v>
      </c>
    </row>
    <row r="4" spans="1:34" x14ac:dyDescent="0.25">
      <c r="A4" t="s">
        <v>51</v>
      </c>
      <c r="B4" s="15">
        <v>394321.3</v>
      </c>
      <c r="C4" s="16">
        <v>279502.88302400021</v>
      </c>
      <c r="D4" s="11">
        <f>IFERROR(C4/B4,0)</f>
        <v>0.70882015002486609</v>
      </c>
      <c r="E4" s="49">
        <v>73</v>
      </c>
      <c r="F4" s="49">
        <v>41</v>
      </c>
      <c r="G4" s="12">
        <f t="shared" ref="G4" si="0">IFERROR(F4/E4,0)</f>
        <v>0.56164383561643838</v>
      </c>
      <c r="H4" s="22"/>
      <c r="I4" s="15">
        <v>38973.620000000003</v>
      </c>
      <c r="J4" s="16">
        <v>30929.378072999993</v>
      </c>
      <c r="K4" s="11">
        <f t="shared" ref="K4:K22" si="1">IFERROR(J4/I4,0)</f>
        <v>0.79359777390450237</v>
      </c>
      <c r="L4" s="49">
        <v>44</v>
      </c>
      <c r="M4" s="49">
        <v>36</v>
      </c>
      <c r="N4" s="12">
        <f t="shared" ref="N4:N22" si="2">IFERROR(M4/L4,0)</f>
        <v>0.81818181818181823</v>
      </c>
      <c r="O4" s="22"/>
      <c r="P4" s="15">
        <v>25218.22</v>
      </c>
      <c r="Q4" s="16">
        <v>22598.079999999994</v>
      </c>
      <c r="R4" s="11">
        <f t="shared" ref="R4:R22" si="3">IFERROR(Q4/P4,0)</f>
        <v>0.89610131087761125</v>
      </c>
      <c r="S4" s="1">
        <v>18</v>
      </c>
      <c r="T4" s="1">
        <v>18</v>
      </c>
      <c r="U4" s="12">
        <f t="shared" ref="U4:U22" si="4">IFERROR(T4/S4,0)</f>
        <v>1</v>
      </c>
      <c r="W4" s="27"/>
      <c r="X4" s="24" cm="1">
        <f t="array" ref="X4">(_xlfn.IFS(D4&lt;70%,0,AND(D4&gt;=70%,D4&lt;=120%),D4*30%,D4&gt;120%,120%*30%))+(_xlfn.IFS(G4&lt;70%,0,AND(G4&gt;=70%,G4&lt;=120%),G4*30%,G4&gt;120%,120%*30%))+(_xlfn.IFS(K4&lt;70%,0,AND(K4&gt;=70%,K4&lt;=120%),K4*7.5%,K4&gt;120%,120%*7.5%))+(_xlfn.IFS(N4&lt;70%,0,AND(N4&gt;=70%,N4&lt;=120%),N4*7.5%,N4&gt;120%,120%*7.5%))+(_xlfn.IFS(R4&lt;70%,0,AND(R4&gt;=70%,R4&lt;=120%),R4*12.5%,R4&gt;120%,120%*12.5%))+(_xlfn.IFS(U4&lt;70%,0,AND(U4&gt;=70%,U4&lt;=120%),U4*12.5%,U4&gt;120%,120%*12.5%))</f>
        <v>0.57054217827363518</v>
      </c>
      <c r="Y4" s="29">
        <f t="shared" ref="Y4:Y23" si="5">X4*(W4/2)</f>
        <v>0</v>
      </c>
    </row>
    <row r="5" spans="1:34" x14ac:dyDescent="0.25">
      <c r="A5" t="s">
        <v>4</v>
      </c>
      <c r="B5" s="15">
        <v>542000</v>
      </c>
      <c r="C5" s="16">
        <v>1207431.1595999997</v>
      </c>
      <c r="D5" s="11">
        <f>IFERROR(C5/B5,0)</f>
        <v>2.2277327667896674</v>
      </c>
      <c r="E5" s="49">
        <v>0</v>
      </c>
      <c r="F5" s="49">
        <v>48</v>
      </c>
      <c r="G5" s="12">
        <f>IFERROR(F5/E5,0)</f>
        <v>0</v>
      </c>
      <c r="H5" s="22"/>
      <c r="I5" s="15">
        <v>3000</v>
      </c>
      <c r="J5" s="16">
        <v>103388.62</v>
      </c>
      <c r="K5" s="11">
        <f t="shared" si="1"/>
        <v>34.462873333333334</v>
      </c>
      <c r="L5" s="49">
        <v>0</v>
      </c>
      <c r="M5" s="49">
        <v>10</v>
      </c>
      <c r="N5" s="12">
        <f t="shared" si="2"/>
        <v>0</v>
      </c>
      <c r="O5" s="22"/>
      <c r="P5" s="15">
        <v>9000</v>
      </c>
      <c r="Q5" s="16">
        <v>23507.879999999997</v>
      </c>
      <c r="R5" s="11">
        <f t="shared" si="3"/>
        <v>2.6119866666666662</v>
      </c>
      <c r="S5" s="1">
        <v>0</v>
      </c>
      <c r="T5" s="1">
        <v>18</v>
      </c>
      <c r="U5" s="12">
        <f t="shared" si="4"/>
        <v>0</v>
      </c>
      <c r="W5" s="27"/>
      <c r="X5" s="24" cm="1">
        <f t="array" ref="X5">(_xlfn.IFS(D5&lt;70%,0,AND(D5&gt;=70%,D5&lt;=120%),D5*60%,D5&gt;120%,120%*60%))+(_xlfn.IFS(K5&lt;70%,0,AND(K5&gt;=70%,K5&lt;=120%),K5*15%,K5&gt;120%,120%*15%))+(_xlfn.IFS(R5&lt;70%,0,AND(R5&gt;=70%,R5&lt;=120%),R5*25%,R5&gt;120%,120%*25%))</f>
        <v>1.2</v>
      </c>
      <c r="Y5" s="29">
        <f t="shared" si="5"/>
        <v>0</v>
      </c>
    </row>
    <row r="6" spans="1:34" x14ac:dyDescent="0.25">
      <c r="A6" t="s">
        <v>10</v>
      </c>
      <c r="B6" s="15">
        <v>432026.6</v>
      </c>
      <c r="C6" s="16">
        <v>314364.63836300006</v>
      </c>
      <c r="D6" s="11">
        <f>IFERROR(C6/B6,0)</f>
        <v>0.72765111769275337</v>
      </c>
      <c r="E6" s="49">
        <v>101</v>
      </c>
      <c r="F6" s="49">
        <v>66</v>
      </c>
      <c r="G6" s="12">
        <f t="shared" ref="G6:G22" si="6">IFERROR(F6/E6,0)</f>
        <v>0.65346534653465349</v>
      </c>
      <c r="H6" s="22"/>
      <c r="I6" s="15">
        <v>42700.3</v>
      </c>
      <c r="J6" s="16">
        <v>32749.269168999996</v>
      </c>
      <c r="K6" s="11">
        <f t="shared" si="1"/>
        <v>0.76695641878394283</v>
      </c>
      <c r="L6" s="49">
        <v>61</v>
      </c>
      <c r="M6" s="49">
        <v>57</v>
      </c>
      <c r="N6" s="12">
        <f t="shared" si="2"/>
        <v>0.93442622950819676</v>
      </c>
      <c r="O6" s="22"/>
      <c r="P6" s="15">
        <v>27629.61</v>
      </c>
      <c r="Q6" s="16">
        <v>29853.140940000001</v>
      </c>
      <c r="R6" s="11">
        <f t="shared" si="3"/>
        <v>1.0804763780596252</v>
      </c>
      <c r="S6" s="1">
        <v>24</v>
      </c>
      <c r="T6" s="1">
        <v>50</v>
      </c>
      <c r="U6" s="12">
        <f t="shared" si="4"/>
        <v>2.0833333333333335</v>
      </c>
      <c r="W6" s="27"/>
      <c r="X6" s="24" cm="1">
        <f t="array" ref="X6">(_xlfn.IFS(D6&lt;70%,0,AND(D6&gt;=70%,D6&lt;=120%),D6*30%,D6&gt;120%,120%*30%))+(_xlfn.IFS(G6&lt;70%,0,AND(G6&gt;=70%,G6&lt;=120%),G6*30%,G6&gt;120%,120%*30%))+(_xlfn.IFS(K6&lt;70%,0,AND(K6&gt;=70%,K6&lt;=120%),K6*7.5%,K6&gt;120%,120%*7.5%))+(_xlfn.IFS(N6&lt;70%,0,AND(N6&gt;=70%,N6&lt;=120%),N6*7.5%,N6&gt;120%,120%*7.5%))+(_xlfn.IFS(R6&lt;70%,0,AND(R6&gt;=70%,R6&lt;=120%),R6*12.5%,R6&gt;120%,120%*12.5%))+(_xlfn.IFS(U6&lt;70%,0,AND(U6&gt;=70%,U6&lt;=120%),U6*12.5%,U6&gt;120%,120%*12.5%))</f>
        <v>0.63095858118718962</v>
      </c>
      <c r="Y6" s="29">
        <f t="shared" si="5"/>
        <v>0</v>
      </c>
    </row>
    <row r="7" spans="1:34" x14ac:dyDescent="0.25">
      <c r="A7" t="s">
        <v>33</v>
      </c>
      <c r="B7" s="15">
        <v>513488.95000000007</v>
      </c>
      <c r="C7" s="16">
        <v>364641.67441799986</v>
      </c>
      <c r="D7" s="11">
        <f t="shared" ref="D7:D22" si="7">IFERROR(C7/B7,0)</f>
        <v>0.7101256500612132</v>
      </c>
      <c r="E7" s="49">
        <v>92</v>
      </c>
      <c r="F7" s="49">
        <v>38</v>
      </c>
      <c r="G7" s="12">
        <f t="shared" si="6"/>
        <v>0.41304347826086957</v>
      </c>
      <c r="H7" s="22"/>
      <c r="I7" s="15">
        <v>50751.820000000007</v>
      </c>
      <c r="J7" s="16">
        <v>41738.756899</v>
      </c>
      <c r="K7" s="11">
        <f t="shared" si="1"/>
        <v>0.82240906629555344</v>
      </c>
      <c r="L7" s="49">
        <v>55</v>
      </c>
      <c r="M7" s="49">
        <v>30</v>
      </c>
      <c r="N7" s="12">
        <f t="shared" si="2"/>
        <v>0.54545454545454541</v>
      </c>
      <c r="O7" s="22"/>
      <c r="P7" s="15">
        <v>32839.409999999996</v>
      </c>
      <c r="Q7" s="16">
        <v>12668.6224</v>
      </c>
      <c r="R7" s="11">
        <f t="shared" si="3"/>
        <v>0.38577496976955439</v>
      </c>
      <c r="S7" s="1">
        <v>22</v>
      </c>
      <c r="T7" s="1">
        <v>23</v>
      </c>
      <c r="U7" s="12">
        <f t="shared" si="4"/>
        <v>1.0454545454545454</v>
      </c>
      <c r="W7" s="27"/>
      <c r="X7" s="24" cm="1">
        <f t="array" ref="X7">(_xlfn.IFS(D7&lt;70%,0,AND(D7&gt;=70%,D7&lt;=120%),D7*30%,D7&gt;120%,120%*30%))+(_xlfn.IFS(G7&lt;70%,0,AND(G7&gt;=70%,G7&lt;=120%),G7*30%,G7&gt;120%,120%*30%))+(_xlfn.IFS(K7&lt;70%,0,AND(K7&gt;=70%,K7&lt;=120%),K7*7.5%,K7&gt;120%,120%*7.5%))+(_xlfn.IFS(N7&lt;70%,0,AND(N7&gt;=70%,N7&lt;=120%),N7*7.5%,N7&gt;120%,120%*7.5%))+(_xlfn.IFS(R7&lt;70%,0,AND(R7&gt;=70%,R7&lt;=120%),R7*12.5%,R7&gt;120%,120%*12.5%))+(_xlfn.IFS(U7&lt;70%,0,AND(U7&gt;=70%,U7&lt;=120%),U7*12.5%,U7&gt;120%,120%*12.5%))</f>
        <v>0.4054001931723486</v>
      </c>
      <c r="Y7" s="29">
        <f t="shared" si="5"/>
        <v>0</v>
      </c>
    </row>
    <row r="8" spans="1:34" x14ac:dyDescent="0.25">
      <c r="A8" t="s">
        <v>54</v>
      </c>
      <c r="B8" s="15">
        <v>1810000</v>
      </c>
      <c r="C8" s="16">
        <v>577780</v>
      </c>
      <c r="D8" s="11">
        <f t="shared" si="7"/>
        <v>0.31921546961325969</v>
      </c>
      <c r="E8" s="49">
        <v>0</v>
      </c>
      <c r="F8" s="49">
        <v>2</v>
      </c>
      <c r="G8" s="12">
        <f t="shared" si="6"/>
        <v>0</v>
      </c>
      <c r="H8" s="22"/>
      <c r="I8" s="15">
        <v>2000</v>
      </c>
      <c r="J8" s="16">
        <v>899.28</v>
      </c>
      <c r="K8" s="11">
        <f t="shared" si="1"/>
        <v>0.44963999999999998</v>
      </c>
      <c r="L8" s="49">
        <v>0</v>
      </c>
      <c r="M8" s="49">
        <v>1</v>
      </c>
      <c r="N8" s="12">
        <f t="shared" si="2"/>
        <v>0</v>
      </c>
      <c r="O8" s="22"/>
      <c r="P8" s="15">
        <v>0</v>
      </c>
      <c r="Q8" s="16">
        <v>-6272.2500000000009</v>
      </c>
      <c r="R8" s="11">
        <f t="shared" si="3"/>
        <v>0</v>
      </c>
      <c r="S8" s="1">
        <v>0</v>
      </c>
      <c r="U8" s="12">
        <f t="shared" si="4"/>
        <v>0</v>
      </c>
      <c r="W8" s="27"/>
      <c r="X8" s="24" cm="1">
        <f t="array" ref="X8">(_xlfn.IFS(D8&lt;70%,0,AND(D8&gt;=70%,D8&lt;=120%),D8*60%,D8&gt;120%,120%*60%))+(_xlfn.IFS(K8&lt;70%,0,AND(K8&gt;=70%,K8&lt;=120%),K8*15%,K8&gt;120%,120%*15%))+(_xlfn.IFS(R8&lt;70%,0,AND(R8&gt;=70%,R8&lt;=120%),R8*25%,R8&gt;120%,120%*25%))</f>
        <v>0</v>
      </c>
      <c r="Y8" s="29">
        <f t="shared" si="5"/>
        <v>0</v>
      </c>
    </row>
    <row r="9" spans="1:34" x14ac:dyDescent="0.25">
      <c r="A9" t="s">
        <v>34</v>
      </c>
      <c r="B9" s="15">
        <v>312239.94</v>
      </c>
      <c r="C9" s="16">
        <v>187927.54395300025</v>
      </c>
      <c r="D9" s="11">
        <f t="shared" si="7"/>
        <v>0.60186901122579084</v>
      </c>
      <c r="E9" s="49">
        <v>99</v>
      </c>
      <c r="F9" s="49">
        <v>39</v>
      </c>
      <c r="G9" s="12">
        <f t="shared" si="6"/>
        <v>0.39393939393939392</v>
      </c>
      <c r="H9" s="22"/>
      <c r="I9" s="15">
        <v>30860.92</v>
      </c>
      <c r="J9" s="16">
        <v>19315.495772000013</v>
      </c>
      <c r="K9" s="11">
        <f t="shared" si="1"/>
        <v>0.62588852736729861</v>
      </c>
      <c r="L9" s="49">
        <v>59</v>
      </c>
      <c r="M9" s="49">
        <v>27</v>
      </c>
      <c r="N9" s="12">
        <f t="shared" si="2"/>
        <v>0.4576271186440678</v>
      </c>
      <c r="O9" s="22"/>
      <c r="P9" s="15">
        <v>19968.830000000002</v>
      </c>
      <c r="Q9" s="16">
        <v>16016.247179999993</v>
      </c>
      <c r="R9" s="11">
        <f t="shared" si="3"/>
        <v>0.80206237320864526</v>
      </c>
      <c r="S9" s="1">
        <v>24</v>
      </c>
      <c r="T9" s="1">
        <v>25</v>
      </c>
      <c r="U9" s="12">
        <f t="shared" si="4"/>
        <v>1.0416666666666667</v>
      </c>
      <c r="W9" s="27"/>
      <c r="X9" s="24" cm="1">
        <f t="array" ref="X9">(_xlfn.IFS(D9&lt;70%,0,AND(D9&gt;=70%,D9&lt;=120%),D9*30%,D9&gt;120%,120%*30%))+(_xlfn.IFS(G9&lt;70%,0,AND(G9&gt;=70%,G9&lt;=120%),G9*30%,G9&gt;120%,120%*30%))+(_xlfn.IFS(K9&lt;70%,0,AND(K9&gt;=70%,K9&lt;=120%),K9*7.5%,K9&gt;120%,120%*7.5%))+(_xlfn.IFS(N9&lt;70%,0,AND(N9&gt;=70%,N9&lt;=120%),N9*7.5%,N9&gt;120%,120%*7.5%))+(_xlfn.IFS(R9&lt;70%,0,AND(R9&gt;=70%,R9&lt;=120%),R9*12.5%,R9&gt;120%,120%*12.5%))+(_xlfn.IFS(U9&lt;70%,0,AND(U9&gt;=70%,U9&lt;=120%),U9*12.5%,U9&gt;120%,120%*12.5%))</f>
        <v>0.23046612998441401</v>
      </c>
      <c r="Y9" s="29">
        <f t="shared" si="5"/>
        <v>0</v>
      </c>
    </row>
    <row r="10" spans="1:34" x14ac:dyDescent="0.25">
      <c r="A10" t="s">
        <v>24</v>
      </c>
      <c r="B10" s="15">
        <v>524723.96</v>
      </c>
      <c r="C10" s="16">
        <v>334338.4584</v>
      </c>
      <c r="D10" s="11">
        <f t="shared" si="7"/>
        <v>0.6371701768678526</v>
      </c>
      <c r="E10" s="49">
        <v>117</v>
      </c>
      <c r="F10" s="49">
        <v>31</v>
      </c>
      <c r="G10" s="12">
        <f t="shared" si="6"/>
        <v>0.26495726495726496</v>
      </c>
      <c r="H10" s="22"/>
      <c r="I10" s="15">
        <v>51862.259999999995</v>
      </c>
      <c r="J10" s="16">
        <v>22991.558500000003</v>
      </c>
      <c r="K10" s="11">
        <f t="shared" si="1"/>
        <v>0.44331964129600226</v>
      </c>
      <c r="L10" s="49">
        <v>70</v>
      </c>
      <c r="M10" s="49">
        <v>23</v>
      </c>
      <c r="N10" s="12">
        <f t="shared" si="2"/>
        <v>0.32857142857142857</v>
      </c>
      <c r="O10" s="22"/>
      <c r="P10" s="15">
        <v>33557.93</v>
      </c>
      <c r="Q10" s="16">
        <v>40314.669000000002</v>
      </c>
      <c r="R10" s="11">
        <f t="shared" si="3"/>
        <v>1.2013455239938817</v>
      </c>
      <c r="S10" s="1">
        <v>28</v>
      </c>
      <c r="T10" s="1">
        <v>22</v>
      </c>
      <c r="U10" s="12">
        <f t="shared" si="4"/>
        <v>0.7857142857142857</v>
      </c>
      <c r="W10" s="27"/>
      <c r="X10" s="24" cm="1">
        <f t="array" ref="X10">(_xlfn.IFS(D10&lt;70%,0,AND(D10&gt;=70%,D10&lt;=120%),D10*30%,D10&gt;120%,120%*30%))+(_xlfn.IFS(G10&lt;70%,0,AND(G10&gt;=70%,G10&lt;=120%),G10*30%,G10&gt;120%,120%*30%))+(_xlfn.IFS(K10&lt;70%,0,AND(K10&gt;=70%,K10&lt;=120%),K10*7.5%,K10&gt;120%,120%*7.5%))+(_xlfn.IFS(N10&lt;70%,0,AND(N10&gt;=70%,N10&lt;=120%),N10*7.5%,N10&gt;120%,120%*7.5%))+(_xlfn.IFS(R10&lt;70%,0,AND(R10&gt;=70%,R10&lt;=120%),R10*12.5%,R10&gt;120%,120%*12.5%))+(_xlfn.IFS(U10&lt;70%,0,AND(U10&gt;=70%,U10&lt;=120%),U10*12.5%,U10&gt;120%,120%*12.5%))</f>
        <v>0.24821428571428572</v>
      </c>
      <c r="Y10" s="29">
        <f t="shared" si="5"/>
        <v>0</v>
      </c>
    </row>
    <row r="11" spans="1:34" x14ac:dyDescent="0.25">
      <c r="A11" t="s">
        <v>35</v>
      </c>
      <c r="B11" s="15">
        <v>392720.93</v>
      </c>
      <c r="C11" s="16">
        <v>1280961.1478399995</v>
      </c>
      <c r="D11" s="11">
        <f t="shared" si="7"/>
        <v>3.2617593053672986</v>
      </c>
      <c r="E11" s="49">
        <v>0</v>
      </c>
      <c r="F11" s="49">
        <v>12</v>
      </c>
      <c r="G11" s="12">
        <f t="shared" si="6"/>
        <v>0</v>
      </c>
      <c r="H11" s="22"/>
      <c r="I11" s="15">
        <v>20206.259999999998</v>
      </c>
      <c r="J11" s="16">
        <v>22222.26</v>
      </c>
      <c r="K11" s="11">
        <f t="shared" si="1"/>
        <v>1.0997710610474181</v>
      </c>
      <c r="L11" s="49">
        <v>0</v>
      </c>
      <c r="M11" s="49">
        <v>2</v>
      </c>
      <c r="N11" s="12">
        <f t="shared" si="2"/>
        <v>0</v>
      </c>
      <c r="O11" s="22"/>
      <c r="P11" s="15">
        <v>5729.62</v>
      </c>
      <c r="Q11" s="16">
        <v>36024.036888000002</v>
      </c>
      <c r="R11" s="11">
        <f t="shared" si="3"/>
        <v>6.2873343935548958</v>
      </c>
      <c r="S11" s="1">
        <v>0</v>
      </c>
      <c r="T11" s="1">
        <v>6</v>
      </c>
      <c r="U11" s="12">
        <f t="shared" si="4"/>
        <v>0</v>
      </c>
      <c r="W11" s="27"/>
      <c r="X11" s="24" cm="1">
        <f t="array" ref="X11">(_xlfn.IFS(D11&lt;70%,0,AND(D11&gt;=70%,D11&lt;=120%),D11*60%,D11&gt;120%,120%*60%))+(_xlfn.IFS(K11&lt;70%,0,AND(K11&gt;=70%,K11&lt;=120%),K11*15%,K11&gt;120%,120%*15%))+(_xlfn.IFS(R11&lt;70%,0,AND(R11&gt;=70%,R11&lt;=120%),R11*25%,R11&gt;120%,120%*25%))</f>
        <v>1.1849656591571127</v>
      </c>
      <c r="Y11" s="29">
        <f t="shared" si="5"/>
        <v>0</v>
      </c>
    </row>
    <row r="12" spans="1:34" x14ac:dyDescent="0.25">
      <c r="A12" t="s">
        <v>52</v>
      </c>
      <c r="B12" s="15">
        <v>129000</v>
      </c>
      <c r="C12" s="16">
        <v>132004.31921000005</v>
      </c>
      <c r="D12" s="11">
        <f t="shared" si="7"/>
        <v>1.0232892962015507</v>
      </c>
      <c r="E12" s="49">
        <v>40</v>
      </c>
      <c r="F12" s="49">
        <v>58</v>
      </c>
      <c r="G12" s="12">
        <f t="shared" si="6"/>
        <v>1.45</v>
      </c>
      <c r="H12" s="33"/>
      <c r="I12" s="15">
        <v>12750</v>
      </c>
      <c r="J12" s="16">
        <v>10196.758507999999</v>
      </c>
      <c r="K12" s="11">
        <f t="shared" si="1"/>
        <v>0.7997457653333333</v>
      </c>
      <c r="L12" s="49">
        <v>24</v>
      </c>
      <c r="M12" s="49">
        <v>8</v>
      </c>
      <c r="N12" s="12">
        <f t="shared" si="2"/>
        <v>0.33333333333333331</v>
      </c>
      <c r="O12" s="33"/>
      <c r="P12" s="15">
        <v>8250</v>
      </c>
      <c r="Q12" s="16">
        <v>11723.872198000001</v>
      </c>
      <c r="R12" s="11">
        <f t="shared" si="3"/>
        <v>1.4210754179393941</v>
      </c>
      <c r="S12" s="1">
        <v>10</v>
      </c>
      <c r="T12" s="1">
        <v>12</v>
      </c>
      <c r="U12" s="12">
        <f t="shared" si="4"/>
        <v>1.2</v>
      </c>
      <c r="W12" s="34"/>
      <c r="X12" s="24" cm="1">
        <f t="array" ref="X12">(_xlfn.IFS(D12&lt;70%,0,AND(D12&gt;=70%,D12&lt;=120%),D12*30%,D12&gt;120%,120%*30%))+(_xlfn.IFS(G12&lt;70%,0,AND(G12&gt;=70%,G12&lt;=120%),G12*30%,G12&gt;120%,120%*30%))+(_xlfn.IFS(K12&lt;70%,0,AND(K12&gt;=70%,K12&lt;=120%),K12*7.5%,K12&gt;120%,120%*7.5%))+(_xlfn.IFS(N12&lt;70%,0,AND(N12&gt;=70%,N12&lt;=120%),N12*7.5%,N12&gt;120%,120%*7.5%))+(_xlfn.IFS(R12&lt;70%,0,AND(R12&gt;=70%,R12&lt;=120%),R12*12.5%,R12&gt;120%,120%*12.5%))+(_xlfn.IFS(U12&lt;70%,0,AND(U12&gt;=70%,U12&lt;=120%),U12*12.5%,U12&gt;120%,120%*12.5%))</f>
        <v>1.0269677212604653</v>
      </c>
      <c r="Y12" s="29">
        <f t="shared" si="5"/>
        <v>0</v>
      </c>
      <c r="AC12" s="36"/>
      <c r="AD12" s="36"/>
      <c r="AF12" s="38"/>
      <c r="AG12" s="38"/>
      <c r="AH12" s="36"/>
    </row>
    <row r="13" spans="1:34" x14ac:dyDescent="0.25">
      <c r="A13" t="s">
        <v>53</v>
      </c>
      <c r="B13" s="15">
        <v>489955.27</v>
      </c>
      <c r="C13" s="16">
        <v>459523.29189999984</v>
      </c>
      <c r="D13" s="11">
        <f t="shared" si="7"/>
        <v>0.93788825232964601</v>
      </c>
      <c r="E13" s="49">
        <v>73</v>
      </c>
      <c r="F13" s="49">
        <v>38</v>
      </c>
      <c r="G13" s="12">
        <f t="shared" si="6"/>
        <v>0.52054794520547942</v>
      </c>
      <c r="H13" s="22"/>
      <c r="I13" s="15">
        <v>42672.82</v>
      </c>
      <c r="J13" s="16">
        <v>34320.864000000001</v>
      </c>
      <c r="K13" s="11">
        <f t="shared" si="1"/>
        <v>0.80427925785078191</v>
      </c>
      <c r="L13" s="49">
        <v>44</v>
      </c>
      <c r="M13" s="49">
        <v>18</v>
      </c>
      <c r="N13" s="12">
        <f t="shared" si="2"/>
        <v>0.40909090909090912</v>
      </c>
      <c r="O13" s="22"/>
      <c r="P13" s="15">
        <v>29962.690000000002</v>
      </c>
      <c r="Q13" s="16">
        <v>34033.317500000005</v>
      </c>
      <c r="R13" s="11">
        <f t="shared" si="3"/>
        <v>1.1358565435880423</v>
      </c>
      <c r="S13" s="1">
        <v>18</v>
      </c>
      <c r="T13" s="1">
        <v>19</v>
      </c>
      <c r="U13" s="12">
        <f t="shared" si="4"/>
        <v>1.0555555555555556</v>
      </c>
      <c r="W13" s="27"/>
      <c r="X13" s="24" cm="1">
        <f t="array" ref="X13">(_xlfn.IFS(D13&lt;70%,0,AND(D13&gt;=70%,D13&lt;=120%),D13*30%,D13&gt;120%,120%*30%))+(_xlfn.IFS(G13&lt;70%,0,AND(G13&gt;=70%,G13&lt;=120%),G13*30%,G13&gt;120%,120%*30%))+(_xlfn.IFS(K13&lt;70%,0,AND(K13&gt;=70%,K13&lt;=120%),K13*7.5%,K13&gt;120%,120%*7.5%))+(_xlfn.IFS(N13&lt;70%,0,AND(N13&gt;=70%,N13&lt;=120%),N13*7.5%,N13&gt;120%,120%*7.5%))+(_xlfn.IFS(R13&lt;70%,0,AND(R13&gt;=70%,R13&lt;=120%),R13*12.5%,R13&gt;120%,120%*12.5%))+(_xlfn.IFS(U13&lt;70%,0,AND(U13&gt;=70%,U13&lt;=120%),U13*12.5%,U13&gt;120%,120%*12.5%))</f>
        <v>0.6156139324306521</v>
      </c>
      <c r="Y13" s="29">
        <f t="shared" si="5"/>
        <v>0</v>
      </c>
    </row>
    <row r="14" spans="1:34" x14ac:dyDescent="0.25">
      <c r="A14" t="s">
        <v>2</v>
      </c>
      <c r="B14" s="15">
        <v>748061.37</v>
      </c>
      <c r="C14" s="16">
        <v>598758.94512200099</v>
      </c>
      <c r="D14" s="11">
        <f t="shared" si="7"/>
        <v>0.80041420281066111</v>
      </c>
      <c r="E14" s="49">
        <v>83</v>
      </c>
      <c r="F14" s="49">
        <v>34</v>
      </c>
      <c r="G14" s="12">
        <f t="shared" si="6"/>
        <v>0.40963855421686746</v>
      </c>
      <c r="H14" s="22"/>
      <c r="I14" s="15">
        <v>73936.3</v>
      </c>
      <c r="J14" s="16">
        <v>49316.133500000011</v>
      </c>
      <c r="K14" s="11">
        <f t="shared" si="1"/>
        <v>0.66700840453200938</v>
      </c>
      <c r="L14" s="49">
        <v>50</v>
      </c>
      <c r="M14" s="49">
        <v>21</v>
      </c>
      <c r="N14" s="12">
        <f t="shared" si="2"/>
        <v>0.42</v>
      </c>
      <c r="O14" s="22"/>
      <c r="P14" s="15">
        <v>47841.13</v>
      </c>
      <c r="Q14" s="16">
        <v>33001.672959999989</v>
      </c>
      <c r="R14" s="11">
        <f t="shared" si="3"/>
        <v>0.68981800722516362</v>
      </c>
      <c r="S14" s="1">
        <v>20</v>
      </c>
      <c r="T14" s="1">
        <v>19</v>
      </c>
      <c r="U14" s="12">
        <f t="shared" si="4"/>
        <v>0.95</v>
      </c>
      <c r="W14" s="27"/>
      <c r="X14" s="24" cm="1">
        <f t="array" ref="X14">(_xlfn.IFS(D14&lt;70%,0,AND(D14&gt;=70%,D14&lt;=120%),D14*30%,D14&gt;120%,120%*30%))+(_xlfn.IFS(G14&lt;70%,0,AND(G14&gt;=70%,G14&lt;=120%),G14*30%,G14&gt;120%,120%*30%))+(_xlfn.IFS(K14&lt;70%,0,AND(K14&gt;=70%,K14&lt;=120%),K14*7.5%,K14&gt;120%,120%*7.5%))+(_xlfn.IFS(N14&lt;70%,0,AND(N14&gt;=70%,N14&lt;=120%),N14*7.5%,N14&gt;120%,120%*7.5%))+(_xlfn.IFS(R14&lt;70%,0,AND(R14&gt;=70%,R14&lt;=120%),R14*12.5%,R14&gt;120%,120%*12.5%))+(_xlfn.IFS(U14&lt;70%,0,AND(U14&gt;=70%,U14&lt;=120%),U14*12.5%,U14&gt;120%,120%*12.5%))</f>
        <v>0.35887426084319829</v>
      </c>
      <c r="Y14" s="29">
        <f t="shared" si="5"/>
        <v>0</v>
      </c>
    </row>
    <row r="15" spans="1:34" x14ac:dyDescent="0.25">
      <c r="A15" t="s">
        <v>9</v>
      </c>
      <c r="B15" s="15">
        <v>493750.44</v>
      </c>
      <c r="C15" s="16">
        <v>242222.26998599977</v>
      </c>
      <c r="D15" s="11">
        <f t="shared" si="7"/>
        <v>0.49057631216693148</v>
      </c>
      <c r="E15" s="49">
        <v>107</v>
      </c>
      <c r="F15" s="49">
        <v>43</v>
      </c>
      <c r="G15" s="12">
        <f t="shared" si="6"/>
        <v>0.40186915887850466</v>
      </c>
      <c r="H15" s="22"/>
      <c r="I15" s="15">
        <v>48800.92</v>
      </c>
      <c r="J15" s="16">
        <v>20739.011000000002</v>
      </c>
      <c r="K15" s="11">
        <f t="shared" si="1"/>
        <v>0.42497172184458826</v>
      </c>
      <c r="L15" s="49">
        <v>64</v>
      </c>
      <c r="M15" s="49">
        <v>34</v>
      </c>
      <c r="N15" s="12">
        <f t="shared" si="2"/>
        <v>0.53125</v>
      </c>
      <c r="O15" s="22"/>
      <c r="P15" s="15">
        <v>31577.06</v>
      </c>
      <c r="Q15" s="16">
        <v>9915.0358000000033</v>
      </c>
      <c r="R15" s="11">
        <f t="shared" si="3"/>
        <v>0.31399490009519576</v>
      </c>
      <c r="S15" s="1">
        <v>26</v>
      </c>
      <c r="T15" s="1">
        <v>30</v>
      </c>
      <c r="U15" s="12">
        <f t="shared" si="4"/>
        <v>1.1538461538461537</v>
      </c>
      <c r="W15" s="27"/>
      <c r="X15" s="24" cm="1">
        <f t="array" ref="X15">(_xlfn.IFS(D15&lt;70%,0,AND(D15&gt;=70%,D15&lt;=120%),D15*30%,D15&gt;120%,120%*30%))+(_xlfn.IFS(G15&lt;70%,0,AND(G15&gt;=70%,G15&lt;=120%),G15*30%,G15&gt;120%,120%*30%))+(_xlfn.IFS(K15&lt;70%,0,AND(K15&gt;=70%,K15&lt;=120%),K15*7.5%,K15&gt;120%,120%*7.5%))+(_xlfn.IFS(N15&lt;70%,0,AND(N15&gt;=70%,N15&lt;=120%),N15*7.5%,N15&gt;120%,120%*7.5%))+(_xlfn.IFS(R15&lt;70%,0,AND(R15&gt;=70%,R15&lt;=120%),R15*12.5%,R15&gt;120%,120%*12.5%))+(_xlfn.IFS(U15&lt;70%,0,AND(U15&gt;=70%,U15&lt;=120%),U15*12.5%,U15&gt;120%,120%*12.5%))</f>
        <v>0.14423076923076922</v>
      </c>
      <c r="Y15" s="29">
        <f t="shared" si="5"/>
        <v>0</v>
      </c>
    </row>
    <row r="16" spans="1:34" x14ac:dyDescent="0.25">
      <c r="A16" t="s">
        <v>3</v>
      </c>
      <c r="B16" s="15">
        <v>239594</v>
      </c>
      <c r="C16" s="16">
        <v>93078.559229999984</v>
      </c>
      <c r="D16" s="11">
        <f t="shared" si="7"/>
        <v>0.38848451643196402</v>
      </c>
      <c r="E16" s="49">
        <v>65</v>
      </c>
      <c r="F16" s="49">
        <v>24</v>
      </c>
      <c r="G16" s="12">
        <f t="shared" si="6"/>
        <v>0.36923076923076925</v>
      </c>
      <c r="H16" s="22"/>
      <c r="I16" s="15">
        <v>23680.799999999999</v>
      </c>
      <c r="J16" s="16">
        <v>17267.638843999994</v>
      </c>
      <c r="K16" s="11">
        <f t="shared" si="1"/>
        <v>0.72918308688895617</v>
      </c>
      <c r="L16" s="49">
        <v>39</v>
      </c>
      <c r="M16" s="49">
        <v>20</v>
      </c>
      <c r="N16" s="12">
        <f t="shared" si="2"/>
        <v>0.51282051282051277</v>
      </c>
      <c r="O16" s="22"/>
      <c r="P16" s="15">
        <v>15322.87</v>
      </c>
      <c r="Q16" s="16">
        <v>10921.027799999993</v>
      </c>
      <c r="R16" s="11">
        <f t="shared" si="3"/>
        <v>0.71272730239178383</v>
      </c>
      <c r="S16" s="1">
        <v>16</v>
      </c>
      <c r="T16" s="1">
        <v>13</v>
      </c>
      <c r="U16" s="12">
        <f t="shared" si="4"/>
        <v>0.8125</v>
      </c>
      <c r="W16" s="27"/>
      <c r="X16" s="24" cm="1">
        <f t="array" ref="X16">(_xlfn.IFS(D16&lt;70%,0,AND(D16&gt;=70%,D16&lt;=120%),D16*30%,D16&gt;120%,120%*30%))+(_xlfn.IFS(G16&lt;70%,0,AND(G16&gt;=70%,G16&lt;=120%),G16*30%,G16&gt;120%,120%*30%))+(_xlfn.IFS(K16&lt;70%,0,AND(K16&gt;=70%,K16&lt;=120%),K16*7.5%,K16&gt;120%,120%*7.5%))+(_xlfn.IFS(N16&lt;70%,0,AND(N16&gt;=70%,N16&lt;=120%),N16*7.5%,N16&gt;120%,120%*7.5%))+(_xlfn.IFS(R16&lt;70%,0,AND(R16&gt;=70%,R16&lt;=120%),R16*12.5%,R16&gt;120%,120%*12.5%))+(_xlfn.IFS(U16&lt;70%,0,AND(U16&gt;=70%,U16&lt;=120%),U16*12.5%,U16&gt;120%,120%*12.5%))</f>
        <v>0.24534214431564469</v>
      </c>
      <c r="Y16" s="29">
        <f t="shared" si="5"/>
        <v>0</v>
      </c>
    </row>
    <row r="17" spans="1:26" x14ac:dyDescent="0.25">
      <c r="A17" t="s">
        <v>42</v>
      </c>
      <c r="B17" s="15">
        <v>368399.81999999995</v>
      </c>
      <c r="C17" s="16">
        <v>177210.42352699986</v>
      </c>
      <c r="D17" s="11">
        <f t="shared" si="7"/>
        <v>0.48102744330059632</v>
      </c>
      <c r="E17" s="49">
        <v>99</v>
      </c>
      <c r="F17" s="49">
        <v>27</v>
      </c>
      <c r="G17" s="12">
        <f t="shared" si="6"/>
        <v>0.27272727272727271</v>
      </c>
      <c r="H17" s="22"/>
      <c r="I17" s="15">
        <v>36411.61</v>
      </c>
      <c r="J17" s="16">
        <v>20296.864800000003</v>
      </c>
      <c r="K17" s="11">
        <f t="shared" si="1"/>
        <v>0.55742838067308753</v>
      </c>
      <c r="L17" s="49">
        <v>59</v>
      </c>
      <c r="M17" s="49">
        <v>19</v>
      </c>
      <c r="N17" s="12">
        <f t="shared" si="2"/>
        <v>0.32203389830508472</v>
      </c>
      <c r="O17" s="22"/>
      <c r="P17" s="15">
        <v>23560.46</v>
      </c>
      <c r="Q17" s="16">
        <v>16714.292300000001</v>
      </c>
      <c r="R17" s="11">
        <f t="shared" si="3"/>
        <v>0.70942130586584484</v>
      </c>
      <c r="S17" s="49">
        <v>24</v>
      </c>
      <c r="T17" s="49">
        <v>17</v>
      </c>
      <c r="U17" s="12">
        <f t="shared" si="4"/>
        <v>0.70833333333333337</v>
      </c>
      <c r="W17" s="27"/>
      <c r="X17" s="24" cm="1">
        <f t="array" ref="X17">(_xlfn.IFS(D17&lt;70%,0,AND(D17&gt;=70%,D17&lt;=120%),D17*30%,D17&gt;120%,120%*30%))+(_xlfn.IFS(G17&lt;70%,0,AND(G17&gt;=70%,G17&lt;=120%),G17*30%,G17&gt;120%,120%*30%))+(_xlfn.IFS(K17&lt;70%,0,AND(K17&gt;=70%,K17&lt;=120%),K17*7.5%,K17&gt;120%,120%*7.5%))+(_xlfn.IFS(N17&lt;70%,0,AND(N17&gt;=70%,N17&lt;=120%),N17*7.5%,N17&gt;120%,120%*7.5%))+(_xlfn.IFS(R17&lt;70%,0,AND(R17&gt;=70%,R17&lt;=120%),R17*12.5%,R17&gt;120%,120%*12.5%))+(_xlfn.IFS(U17&lt;70%,0,AND(U17&gt;=70%,U17&lt;=120%),U17*12.5%,U17&gt;120%,120%*12.5%))</f>
        <v>0.17721932989989728</v>
      </c>
      <c r="Y17" s="29">
        <f t="shared" si="5"/>
        <v>0</v>
      </c>
    </row>
    <row r="18" spans="1:26" x14ac:dyDescent="0.25">
      <c r="A18" t="s">
        <v>40</v>
      </c>
      <c r="B18" s="15">
        <v>661695.8600000001</v>
      </c>
      <c r="C18" s="16">
        <v>2236601.254127997</v>
      </c>
      <c r="D18" s="11">
        <f t="shared" si="7"/>
        <v>3.3801046512940198</v>
      </c>
      <c r="E18" s="49">
        <v>0</v>
      </c>
      <c r="F18" s="49">
        <v>31</v>
      </c>
      <c r="G18" s="12">
        <f t="shared" si="6"/>
        <v>0</v>
      </c>
      <c r="H18" s="22"/>
      <c r="I18" s="15">
        <v>100000</v>
      </c>
      <c r="J18" s="16">
        <v>248396.24024399999</v>
      </c>
      <c r="K18" s="11">
        <f t="shared" si="1"/>
        <v>2.48396240244</v>
      </c>
      <c r="L18" s="49">
        <v>0</v>
      </c>
      <c r="M18" s="49">
        <v>8</v>
      </c>
      <c r="N18" s="12">
        <f t="shared" si="2"/>
        <v>0</v>
      </c>
      <c r="O18" s="22"/>
      <c r="P18" s="15">
        <v>5000</v>
      </c>
      <c r="Q18" s="16">
        <v>22594.89238400001</v>
      </c>
      <c r="R18" s="11">
        <f t="shared" si="3"/>
        <v>4.5189784768000019</v>
      </c>
      <c r="S18" s="1">
        <v>0</v>
      </c>
      <c r="T18" s="1">
        <v>15</v>
      </c>
      <c r="U18" s="12">
        <f t="shared" si="4"/>
        <v>0</v>
      </c>
      <c r="W18" s="27"/>
      <c r="X18" s="24" cm="1">
        <f t="array" ref="X18">(_xlfn.IFS(D18&lt;70%,0,AND(D18&gt;=70%,D18&lt;=120%),D18*60%,D18&gt;120%,120%*60%))+(_xlfn.IFS(K18&lt;70%,0,AND(K18&gt;=70%,K18&lt;=120%),K18*15%,K18&gt;120%,120%*15%))+(_xlfn.IFS(R18&lt;70%,0,AND(R18&gt;=70%,R18&lt;=120%),R18*25%,R18&gt;120%,120%*25%))</f>
        <v>1.2</v>
      </c>
      <c r="Y18" s="29">
        <f t="shared" si="5"/>
        <v>0</v>
      </c>
    </row>
    <row r="19" spans="1:26" x14ac:dyDescent="0.25">
      <c r="A19" t="s">
        <v>25</v>
      </c>
      <c r="B19" s="15">
        <v>160500</v>
      </c>
      <c r="C19" s="16">
        <v>354343.26000000007</v>
      </c>
      <c r="D19" s="11">
        <f t="shared" si="7"/>
        <v>2.2077461682242996</v>
      </c>
      <c r="E19" s="49">
        <v>0</v>
      </c>
      <c r="F19" s="49">
        <v>3</v>
      </c>
      <c r="G19" s="12">
        <f t="shared" si="6"/>
        <v>0</v>
      </c>
      <c r="H19" s="22"/>
      <c r="I19" s="15">
        <v>5000</v>
      </c>
      <c r="J19" s="16">
        <v>29676.239999999998</v>
      </c>
      <c r="K19" s="11">
        <f t="shared" si="1"/>
        <v>5.9352479999999996</v>
      </c>
      <c r="L19" s="49">
        <v>0</v>
      </c>
      <c r="M19" s="49">
        <v>2</v>
      </c>
      <c r="N19" s="12">
        <f t="shared" si="2"/>
        <v>0</v>
      </c>
      <c r="O19" s="22"/>
      <c r="P19" s="15">
        <v>2500</v>
      </c>
      <c r="Q19" s="16">
        <v>20794.5</v>
      </c>
      <c r="R19" s="11">
        <f t="shared" si="3"/>
        <v>8.3178000000000001</v>
      </c>
      <c r="S19" s="49">
        <v>0</v>
      </c>
      <c r="T19" s="49">
        <v>2</v>
      </c>
      <c r="U19" s="12">
        <f t="shared" si="4"/>
        <v>0</v>
      </c>
      <c r="W19" s="27"/>
      <c r="X19" s="24" cm="1">
        <f t="array" ref="X19">(_xlfn.IFS(D19&lt;70%,0,AND(D19&gt;=70%,D19&lt;=120%),D19*60%,D19&gt;120%,120%*60%))+(_xlfn.IFS(K19&lt;70%,0,AND(K19&gt;=70%,K19&lt;=120%),K19*15%,K19&gt;120%,120%*15%))+(_xlfn.IFS(R19&lt;70%,0,AND(R19&gt;=70%,R19&lt;=120%),R19*25%,R19&gt;120%,120%*25%))</f>
        <v>1.2</v>
      </c>
      <c r="Y19" s="29">
        <f t="shared" si="5"/>
        <v>0</v>
      </c>
    </row>
    <row r="20" spans="1:26" x14ac:dyDescent="0.25">
      <c r="A20" t="s">
        <v>50</v>
      </c>
      <c r="B20" s="15">
        <v>136998</v>
      </c>
      <c r="C20" s="16">
        <v>137191.93807199999</v>
      </c>
      <c r="D20" s="11">
        <f t="shared" si="7"/>
        <v>1.0014156270310515</v>
      </c>
      <c r="E20" s="49">
        <v>0</v>
      </c>
      <c r="F20" s="49">
        <v>12</v>
      </c>
      <c r="G20" s="12">
        <f t="shared" si="6"/>
        <v>0</v>
      </c>
      <c r="H20" s="22"/>
      <c r="I20" s="15">
        <v>2500</v>
      </c>
      <c r="J20" s="16">
        <v>7601.1839999999993</v>
      </c>
      <c r="K20" s="11">
        <f t="shared" si="1"/>
        <v>3.0404735999999999</v>
      </c>
      <c r="L20" s="49">
        <v>0</v>
      </c>
      <c r="M20" s="49">
        <v>6</v>
      </c>
      <c r="N20" s="12">
        <f t="shared" si="2"/>
        <v>0</v>
      </c>
      <c r="O20" s="22"/>
      <c r="P20" s="15">
        <v>5000</v>
      </c>
      <c r="Q20" s="16">
        <v>15415.786199999999</v>
      </c>
      <c r="R20" s="11">
        <f t="shared" si="3"/>
        <v>3.0831572399999998</v>
      </c>
      <c r="S20" s="1">
        <v>0</v>
      </c>
      <c r="T20" s="1">
        <v>8</v>
      </c>
      <c r="U20" s="12">
        <f t="shared" si="4"/>
        <v>0</v>
      </c>
      <c r="W20" s="27"/>
      <c r="X20" s="24" cm="1">
        <f t="array" ref="X20">(_xlfn.IFS(D20&lt;70%,0,AND(D20&gt;=70%,D20&lt;=120%),D20*60%,D20&gt;120%,120%*60%))+(_xlfn.IFS(K20&lt;70%,0,AND(K20&gt;=70%,K20&lt;=120%),K20*15%,K20&gt;120%,120%*15%))+(_xlfn.IFS(R20&lt;70%,0,AND(R20&gt;=70%,R20&lt;=120%),R20*25%,R20&gt;120%,120%*25%))</f>
        <v>1.0808493762186309</v>
      </c>
      <c r="Y20" s="29">
        <f t="shared" si="5"/>
        <v>0</v>
      </c>
    </row>
    <row r="21" spans="1:26" x14ac:dyDescent="0.25">
      <c r="A21" t="s">
        <v>5</v>
      </c>
      <c r="B21" s="15">
        <v>225200.35</v>
      </c>
      <c r="C21" s="16">
        <v>240104.44759999969</v>
      </c>
      <c r="D21" s="11">
        <f t="shared" si="7"/>
        <v>1.0661815028262598</v>
      </c>
      <c r="E21" s="49">
        <v>69</v>
      </c>
      <c r="F21" s="49">
        <v>39</v>
      </c>
      <c r="G21" s="12">
        <f t="shared" si="6"/>
        <v>0.56521739130434778</v>
      </c>
      <c r="H21" s="22"/>
      <c r="I21" s="15">
        <v>22258.17</v>
      </c>
      <c r="J21" s="16">
        <v>35219.501747999973</v>
      </c>
      <c r="K21" s="11">
        <f t="shared" si="1"/>
        <v>1.5823179420410562</v>
      </c>
      <c r="L21" s="49">
        <v>41</v>
      </c>
      <c r="M21" s="49">
        <v>31</v>
      </c>
      <c r="N21" s="12">
        <f t="shared" si="2"/>
        <v>0.75609756097560976</v>
      </c>
      <c r="O21" s="22"/>
      <c r="P21" s="15">
        <v>14402.35</v>
      </c>
      <c r="Q21" s="16">
        <v>18291.780159999995</v>
      </c>
      <c r="R21" s="11">
        <f t="shared" si="3"/>
        <v>1.2700552451509646</v>
      </c>
      <c r="S21" s="1">
        <v>16</v>
      </c>
      <c r="T21" s="1">
        <v>24</v>
      </c>
      <c r="U21" s="12">
        <f t="shared" si="4"/>
        <v>1.5</v>
      </c>
      <c r="W21" s="27"/>
      <c r="X21" s="24" cm="1">
        <f t="array" ref="X21">(_xlfn.IFS(D21&lt;70%,0,AND(D21&gt;=70%,D21&lt;=120%),D21*30%,D21&gt;120%,120%*30%))+(_xlfn.IFS(G21&lt;70%,0,AND(G21&gt;=70%,G21&lt;=120%),G21*30%,G21&gt;120%,120%*30%))+(_xlfn.IFS(K21&lt;70%,0,AND(K21&gt;=70%,K21&lt;=120%),K21*7.5%,K21&gt;120%,120%*7.5%))+(_xlfn.IFS(N21&lt;70%,0,AND(N21&gt;=70%,N21&lt;=120%),N21*7.5%,N21&gt;120%,120%*7.5%))+(_xlfn.IFS(R21&lt;70%,0,AND(R21&gt;=70%,R21&lt;=120%),R21*12.5%,R21&gt;120%,120%*12.5%))+(_xlfn.IFS(U21&lt;70%,0,AND(U21&gt;=70%,U21&lt;=120%),U21*12.5%,U21&gt;120%,120%*12.5%))</f>
        <v>0.76656176792104869</v>
      </c>
      <c r="Y21" s="29">
        <f t="shared" si="5"/>
        <v>0</v>
      </c>
    </row>
    <row r="22" spans="1:26" x14ac:dyDescent="0.25">
      <c r="A22" t="s">
        <v>41</v>
      </c>
      <c r="B22" s="15">
        <v>274118.05</v>
      </c>
      <c r="C22" s="16">
        <v>-17283.027000000002</v>
      </c>
      <c r="D22" s="11">
        <f t="shared" si="7"/>
        <v>-6.304957663313307E-2</v>
      </c>
      <c r="E22" s="49">
        <v>51</v>
      </c>
      <c r="F22" s="49">
        <v>18</v>
      </c>
      <c r="G22" s="12">
        <f t="shared" si="6"/>
        <v>0.35294117647058826</v>
      </c>
      <c r="H22" s="22"/>
      <c r="I22" s="15">
        <v>27093.06</v>
      </c>
      <c r="J22" s="16">
        <v>918.26740000000018</v>
      </c>
      <c r="K22" s="11">
        <f t="shared" si="1"/>
        <v>3.3893085535557817E-2</v>
      </c>
      <c r="L22" s="49">
        <v>31</v>
      </c>
      <c r="M22" s="49">
        <v>8</v>
      </c>
      <c r="N22" s="12">
        <f t="shared" si="2"/>
        <v>0.25806451612903225</v>
      </c>
      <c r="O22" s="22"/>
      <c r="P22" s="15">
        <v>17530.810000000001</v>
      </c>
      <c r="Q22" s="16">
        <v>3208.2939999999999</v>
      </c>
      <c r="R22" s="11">
        <f t="shared" si="3"/>
        <v>0.18300888549930092</v>
      </c>
      <c r="S22" s="49">
        <v>12</v>
      </c>
      <c r="T22" s="49">
        <v>8</v>
      </c>
      <c r="U22" s="12">
        <f t="shared" si="4"/>
        <v>0.66666666666666663</v>
      </c>
      <c r="W22" s="27"/>
      <c r="X22" s="24" cm="1">
        <f t="array" ref="X22">(_xlfn.IFS(D22&lt;70%,0,AND(D22&gt;=70%,D22&lt;=120%),D22*30%,D22&gt;120%,120%*30%))+(_xlfn.IFS(G22&lt;70%,0,AND(G22&gt;=70%,G22&lt;=120%),G22*30%,G22&gt;120%,120%*30%))+(_xlfn.IFS(K22&lt;70%,0,AND(K22&gt;=70%,K22&lt;=120%),K22*7.5%,K22&gt;120%,120%*7.5%))+(_xlfn.IFS(N22&lt;70%,0,AND(N22&gt;=70%,N22&lt;=120%),N22*7.5%,N22&gt;120%,120%*7.5%))+(_xlfn.IFS(R22&lt;70%,0,AND(R22&gt;=70%,R22&lt;=120%),R22*12.5%,R22&gt;120%,120%*12.5%))+(_xlfn.IFS(U22&lt;70%,0,AND(U22&gt;=70%,U22&lt;=120%),U22*12.5%,U22&gt;120%,120%*12.5%))</f>
        <v>0</v>
      </c>
      <c r="Y22" s="29">
        <f t="shared" si="5"/>
        <v>0</v>
      </c>
    </row>
    <row r="23" spans="1:26" x14ac:dyDescent="0.25">
      <c r="A23" t="s">
        <v>29</v>
      </c>
      <c r="B23" s="17">
        <v>146124</v>
      </c>
      <c r="C23" s="18">
        <v>227192.78999999998</v>
      </c>
      <c r="D23" s="13">
        <f t="shared" ref="D23" si="8">IFERROR(C23/B23,0)</f>
        <v>1.5547944896115626</v>
      </c>
      <c r="E23" s="19">
        <v>0</v>
      </c>
      <c r="F23" s="19">
        <v>4</v>
      </c>
      <c r="G23" s="14">
        <f t="shared" ref="G23" si="9">IFERROR(F23/E23,0)</f>
        <v>0</v>
      </c>
      <c r="H23" s="22"/>
      <c r="I23" s="17">
        <v>10125</v>
      </c>
      <c r="J23" s="18">
        <v>9449.94</v>
      </c>
      <c r="K23" s="13">
        <f t="shared" ref="K23" si="10">IFERROR(J23/I23,0)</f>
        <v>0.93332740740740749</v>
      </c>
      <c r="L23" s="19">
        <v>0</v>
      </c>
      <c r="M23" s="19">
        <v>3</v>
      </c>
      <c r="N23" s="14">
        <f t="shared" ref="N23" si="11">IFERROR(M23/L23,0)</f>
        <v>0</v>
      </c>
      <c r="O23" s="22"/>
      <c r="P23" s="17">
        <v>5751</v>
      </c>
      <c r="Q23" s="18">
        <v>7847.7099999999991</v>
      </c>
      <c r="R23" s="13">
        <f t="shared" ref="R23" si="12">IFERROR(Q23/P23,0)</f>
        <v>1.3645818118588071</v>
      </c>
      <c r="S23" s="46">
        <v>0</v>
      </c>
      <c r="T23" s="46">
        <v>3</v>
      </c>
      <c r="U23" s="14">
        <f t="shared" ref="U23" si="13">IFERROR(T23/S23,0)</f>
        <v>0</v>
      </c>
      <c r="W23" s="28"/>
      <c r="X23" s="26" cm="1">
        <f t="array" ref="X23">(_xlfn.IFS(D23&lt;70%,0,AND(D23&gt;=70%,D23&lt;=120%),D23*60%,D23&gt;120%,120%*60%))+(_xlfn.IFS(K23&lt;70%,0,AND(K23&gt;=70%,K23&lt;=120%),K23*15%,K23&gt;120%,120%*15%))+(_xlfn.IFS(R23&lt;70%,0,AND(R23&gt;=70%,R23&lt;=120%),R23*25%,R23&gt;120%,120%*25%))</f>
        <v>1.1599991111111112</v>
      </c>
      <c r="Y23" s="30">
        <f t="shared" si="5"/>
        <v>0</v>
      </c>
    </row>
    <row r="25" spans="1:26" x14ac:dyDescent="0.25">
      <c r="A25" s="2"/>
      <c r="B25" s="152" t="s">
        <v>16</v>
      </c>
      <c r="C25" s="153"/>
      <c r="D25" s="153"/>
      <c r="E25" s="153"/>
      <c r="F25" s="153"/>
      <c r="G25" s="154"/>
      <c r="H25" s="4"/>
      <c r="I25" s="155" t="s">
        <v>17</v>
      </c>
      <c r="J25" s="156"/>
      <c r="K25" s="156"/>
      <c r="L25" s="156"/>
      <c r="M25" s="156"/>
      <c r="N25" s="157"/>
      <c r="O25" s="4"/>
      <c r="P25" s="158" t="s">
        <v>18</v>
      </c>
      <c r="Q25" s="159"/>
      <c r="R25" s="159"/>
      <c r="S25" s="159"/>
      <c r="T25" s="159"/>
      <c r="U25" s="160"/>
      <c r="V25" s="3"/>
      <c r="W25" s="134" t="s">
        <v>20</v>
      </c>
      <c r="X25" s="135"/>
      <c r="Y25" s="136"/>
      <c r="Z25" s="3"/>
    </row>
    <row r="26" spans="1:26" x14ac:dyDescent="0.25">
      <c r="A26" s="21"/>
      <c r="B26" s="137" t="s">
        <v>14</v>
      </c>
      <c r="C26" s="138"/>
      <c r="D26" s="138"/>
      <c r="E26" s="138" t="s">
        <v>15</v>
      </c>
      <c r="F26" s="138"/>
      <c r="G26" s="139"/>
      <c r="H26" s="4"/>
      <c r="I26" s="137" t="s">
        <v>14</v>
      </c>
      <c r="J26" s="138"/>
      <c r="K26" s="138"/>
      <c r="L26" s="138" t="s">
        <v>15</v>
      </c>
      <c r="M26" s="138"/>
      <c r="N26" s="139"/>
      <c r="O26" s="4"/>
      <c r="P26" s="137" t="s">
        <v>14</v>
      </c>
      <c r="Q26" s="138"/>
      <c r="R26" s="138"/>
      <c r="S26" s="138" t="s">
        <v>15</v>
      </c>
      <c r="T26" s="138"/>
      <c r="U26" s="139"/>
      <c r="V26" s="3"/>
      <c r="W26" s="5"/>
      <c r="X26" s="6"/>
      <c r="Y26" s="7"/>
      <c r="Z26" s="3"/>
    </row>
    <row r="27" spans="1:26" x14ac:dyDescent="0.25">
      <c r="A27" s="20" t="s">
        <v>6</v>
      </c>
      <c r="B27" s="8" t="s">
        <v>11</v>
      </c>
      <c r="C27" s="9" t="s">
        <v>12</v>
      </c>
      <c r="D27" s="9" t="s">
        <v>13</v>
      </c>
      <c r="E27" s="9" t="s">
        <v>11</v>
      </c>
      <c r="F27" s="9" t="s">
        <v>12</v>
      </c>
      <c r="G27" s="10" t="s">
        <v>13</v>
      </c>
      <c r="H27" s="4"/>
      <c r="I27" s="8" t="s">
        <v>11</v>
      </c>
      <c r="J27" s="9" t="s">
        <v>12</v>
      </c>
      <c r="K27" s="9" t="s">
        <v>13</v>
      </c>
      <c r="L27" s="9" t="s">
        <v>11</v>
      </c>
      <c r="M27" s="9" t="s">
        <v>12</v>
      </c>
      <c r="N27" s="10" t="s">
        <v>13</v>
      </c>
      <c r="O27" s="4"/>
      <c r="P27" s="8" t="s">
        <v>11</v>
      </c>
      <c r="Q27" s="9" t="s">
        <v>12</v>
      </c>
      <c r="R27" s="9" t="s">
        <v>13</v>
      </c>
      <c r="S27" s="9" t="s">
        <v>11</v>
      </c>
      <c r="T27" s="9" t="s">
        <v>12</v>
      </c>
      <c r="U27" s="10" t="s">
        <v>13</v>
      </c>
      <c r="V27" s="3"/>
      <c r="W27" s="8" t="s">
        <v>1</v>
      </c>
      <c r="X27" s="9" t="s">
        <v>19</v>
      </c>
      <c r="Y27" s="10" t="s">
        <v>20</v>
      </c>
      <c r="Z27" s="3"/>
    </row>
    <row r="28" spans="1:26" x14ac:dyDescent="0.25">
      <c r="A28" t="s">
        <v>30</v>
      </c>
      <c r="B28" s="17">
        <f>SUM(B9,B6,B16,B21,B15,B17,B7,B22)</f>
        <v>2858818.15</v>
      </c>
      <c r="C28" s="18">
        <f>SUM(C9,C6,C16,C21,C15,C17,C7,C22,)</f>
        <v>1602266.5300769995</v>
      </c>
      <c r="D28" s="13">
        <f>IFERROR(C28/B28,0)</f>
        <v>0.5604646556749332</v>
      </c>
      <c r="E28" s="32">
        <f t="shared" ref="E28:F28" si="14">SUM(E9,E6,E16,E21,E15,E17,E7,E22,)</f>
        <v>683</v>
      </c>
      <c r="F28" s="32">
        <f t="shared" si="14"/>
        <v>294</v>
      </c>
      <c r="G28" s="14">
        <f>IFERROR(F28/E28,0)</f>
        <v>0.43045387994143486</v>
      </c>
      <c r="I28" s="17">
        <f t="shared" ref="I28:J28" si="15">SUM(I9,I6,I16,I21,I15,I17,I7,I22,)</f>
        <v>282557.59999999998</v>
      </c>
      <c r="J28" s="18">
        <f t="shared" si="15"/>
        <v>188244.805632</v>
      </c>
      <c r="K28" s="13">
        <f>IFERROR(J28/I28,0)</f>
        <v>0.66621745666016419</v>
      </c>
      <c r="L28" s="32">
        <f t="shared" ref="L28:M28" si="16">SUM(L9,L6,L16,L21,L15,L17,L7,L22,)</f>
        <v>409</v>
      </c>
      <c r="M28" s="32">
        <f t="shared" si="16"/>
        <v>226</v>
      </c>
      <c r="N28" s="14">
        <f>IFERROR(M28/L28,0)</f>
        <v>0.55256723716381417</v>
      </c>
      <c r="P28" s="17">
        <f t="shared" ref="P28:Q28" si="17">SUM(P9,P6,P16,P21,P15,P17,P7,P22,)</f>
        <v>182831.4</v>
      </c>
      <c r="Q28" s="18">
        <f t="shared" si="17"/>
        <v>117588.44057999997</v>
      </c>
      <c r="R28" s="13">
        <f>IFERROR(Q28/P28,0)</f>
        <v>0.64315232821058077</v>
      </c>
      <c r="S28" s="32">
        <f t="shared" ref="S28:T28" si="18">SUM(S9,S6,S16,S21,S15,S17,S7,S22,)</f>
        <v>164</v>
      </c>
      <c r="T28" s="32">
        <f t="shared" si="18"/>
        <v>190</v>
      </c>
      <c r="U28" s="14">
        <f>IFERROR(T28/S28,0)</f>
        <v>1.1585365853658536</v>
      </c>
      <c r="W28" s="25"/>
      <c r="X28" s="26" cm="1">
        <f t="array" ref="X28">(_xlfn.IFS(D28&lt;70%,0,AND(D28&gt;=70%,D28&lt;=120%),D28*30%,D28&gt;120%,120%*30%))+(_xlfn.IFS(G28&lt;70%,0,AND(G28&gt;=70%,G28&lt;=120%),G28*30%,G28&gt;120%,120%*30%))+(_xlfn.IFS(K28&lt;70%,0,AND(K28&gt;=70%,K28&lt;=120%),K28*7.5%,K28&gt;120%,120%*7.5%))+(_xlfn.IFS(N28&lt;70%,0,AND(N28&gt;=70%,N28&lt;=120%),N28*7.5%,N28&gt;120%,120%*7.5%))+(_xlfn.IFS(R28&lt;70%,0,AND(R28&gt;=70%,R28&lt;=120%),R28*12.5%,R28&gt;120%,120%*12.5%))+(_xlfn.IFS(U28&lt;70%,0,AND(U28&gt;=70%,U28&lt;=120%),U28*12.5%,U28&gt;120%,120%*12.5%))</f>
        <v>0.1448170731707317</v>
      </c>
      <c r="Y28" s="30">
        <f t="shared" ref="Y28" si="19">X28*(W28/2)</f>
        <v>0</v>
      </c>
    </row>
    <row r="29" spans="1:26" x14ac:dyDescent="0.25">
      <c r="B29" s="16"/>
      <c r="C29" s="16"/>
      <c r="D29" s="22"/>
      <c r="E29" s="31"/>
      <c r="F29" s="31"/>
      <c r="G29" s="22"/>
      <c r="I29" s="16"/>
      <c r="J29" s="16"/>
      <c r="K29" s="22"/>
      <c r="L29" s="31"/>
      <c r="M29" s="31"/>
      <c r="N29" s="22"/>
      <c r="P29" s="16"/>
      <c r="Q29" s="16"/>
      <c r="R29" s="22"/>
      <c r="S29" s="31"/>
      <c r="T29" s="31"/>
      <c r="U29" s="22"/>
      <c r="X29" s="43"/>
      <c r="Y29" s="44"/>
    </row>
    <row r="30" spans="1:26" x14ac:dyDescent="0.25">
      <c r="A30" s="2"/>
      <c r="B30" s="152" t="s">
        <v>16</v>
      </c>
      <c r="C30" s="153"/>
      <c r="D30" s="153"/>
      <c r="E30" s="153"/>
      <c r="F30" s="153"/>
      <c r="G30" s="154"/>
      <c r="H30" s="4"/>
      <c r="I30" s="155" t="s">
        <v>17</v>
      </c>
      <c r="J30" s="156"/>
      <c r="K30" s="156"/>
      <c r="L30" s="156"/>
      <c r="M30" s="156"/>
      <c r="N30" s="157"/>
      <c r="O30" s="4"/>
      <c r="P30" s="158" t="s">
        <v>18</v>
      </c>
      <c r="Q30" s="159"/>
      <c r="R30" s="159"/>
      <c r="S30" s="159"/>
      <c r="T30" s="159"/>
      <c r="U30" s="160"/>
      <c r="V30" s="3"/>
      <c r="W30" s="134" t="s">
        <v>20</v>
      </c>
      <c r="X30" s="135"/>
      <c r="Y30" s="136"/>
      <c r="Z30" s="3"/>
    </row>
    <row r="31" spans="1:26" x14ac:dyDescent="0.25">
      <c r="A31" s="21"/>
      <c r="B31" s="137" t="s">
        <v>14</v>
      </c>
      <c r="C31" s="138"/>
      <c r="D31" s="138"/>
      <c r="E31" s="138" t="s">
        <v>15</v>
      </c>
      <c r="F31" s="138"/>
      <c r="G31" s="139"/>
      <c r="H31" s="4"/>
      <c r="I31" s="137" t="s">
        <v>14</v>
      </c>
      <c r="J31" s="138"/>
      <c r="K31" s="138"/>
      <c r="L31" s="138" t="s">
        <v>15</v>
      </c>
      <c r="M31" s="138"/>
      <c r="N31" s="139"/>
      <c r="O31" s="4"/>
      <c r="P31" s="137" t="s">
        <v>14</v>
      </c>
      <c r="Q31" s="138"/>
      <c r="R31" s="138"/>
      <c r="S31" s="138" t="s">
        <v>15</v>
      </c>
      <c r="T31" s="138"/>
      <c r="U31" s="139"/>
      <c r="V31" s="3"/>
      <c r="W31" s="5"/>
      <c r="X31" s="6"/>
      <c r="Y31" s="7"/>
      <c r="Z31" s="3"/>
    </row>
    <row r="32" spans="1:26" x14ac:dyDescent="0.25">
      <c r="A32" s="20" t="s">
        <v>36</v>
      </c>
      <c r="B32" s="8" t="s">
        <v>11</v>
      </c>
      <c r="C32" s="9" t="s">
        <v>12</v>
      </c>
      <c r="D32" s="9" t="s">
        <v>13</v>
      </c>
      <c r="E32" s="9" t="s">
        <v>11</v>
      </c>
      <c r="F32" s="9" t="s">
        <v>12</v>
      </c>
      <c r="G32" s="10" t="s">
        <v>13</v>
      </c>
      <c r="H32" s="4"/>
      <c r="I32" s="8" t="s">
        <v>11</v>
      </c>
      <c r="J32" s="9" t="s">
        <v>12</v>
      </c>
      <c r="K32" s="9" t="s">
        <v>13</v>
      </c>
      <c r="L32" s="9" t="s">
        <v>11</v>
      </c>
      <c r="M32" s="9" t="s">
        <v>12</v>
      </c>
      <c r="N32" s="10" t="s">
        <v>13</v>
      </c>
      <c r="O32" s="4"/>
      <c r="P32" s="8" t="s">
        <v>11</v>
      </c>
      <c r="Q32" s="9" t="s">
        <v>12</v>
      </c>
      <c r="R32" s="9" t="s">
        <v>13</v>
      </c>
      <c r="S32" s="9" t="s">
        <v>11</v>
      </c>
      <c r="T32" s="9" t="s">
        <v>12</v>
      </c>
      <c r="U32" s="10" t="s">
        <v>13</v>
      </c>
      <c r="V32" s="3"/>
      <c r="W32" s="8" t="s">
        <v>1</v>
      </c>
      <c r="X32" s="9" t="s">
        <v>19</v>
      </c>
      <c r="Y32" s="10" t="s">
        <v>20</v>
      </c>
      <c r="Z32" s="3"/>
    </row>
    <row r="33" spans="1:25" x14ac:dyDescent="0.25">
      <c r="A33" t="s">
        <v>49</v>
      </c>
      <c r="B33" s="72">
        <v>31840180.540000003</v>
      </c>
      <c r="C33" s="44">
        <v>29816202.496967021</v>
      </c>
      <c r="D33" s="11">
        <v>0.93643321084532449</v>
      </c>
      <c r="G33" s="67"/>
      <c r="I33" s="63">
        <v>3188177.86</v>
      </c>
      <c r="J33" s="44">
        <v>1981387.6889729998</v>
      </c>
      <c r="K33" s="22">
        <v>0.62147965890867829</v>
      </c>
      <c r="N33" s="67"/>
      <c r="P33" s="63">
        <v>1950582.93</v>
      </c>
      <c r="Q33" s="44">
        <v>1635823.2848009996</v>
      </c>
      <c r="R33" s="22">
        <v>0.83863303612576967</v>
      </c>
      <c r="U33" s="67"/>
      <c r="W33" s="62"/>
      <c r="Y33" s="61"/>
    </row>
    <row r="34" spans="1:25" x14ac:dyDescent="0.25">
      <c r="A34" t="s">
        <v>48</v>
      </c>
      <c r="B34" s="72">
        <v>27686059.800000001</v>
      </c>
      <c r="C34" s="44">
        <v>20807385.575753007</v>
      </c>
      <c r="D34" s="64">
        <v>0.75154737532398908</v>
      </c>
      <c r="G34" s="67"/>
      <c r="I34" s="72">
        <v>2036808.02</v>
      </c>
      <c r="J34" s="44">
        <v>1453850.4466339997</v>
      </c>
      <c r="K34" s="64">
        <v>0.71378864986696178</v>
      </c>
      <c r="N34" s="67"/>
      <c r="P34" s="72">
        <v>1616273.3</v>
      </c>
      <c r="Q34" s="44">
        <v>919102.22386299993</v>
      </c>
      <c r="R34" s="64">
        <v>0.56865520445273698</v>
      </c>
      <c r="U34" s="67"/>
      <c r="W34" s="62"/>
      <c r="Y34" s="61"/>
    </row>
    <row r="35" spans="1:25" x14ac:dyDescent="0.25">
      <c r="A35" t="s">
        <v>47</v>
      </c>
      <c r="B35" s="15">
        <v>8994918.8400000017</v>
      </c>
      <c r="C35" s="16">
        <v>9427895.9773729928</v>
      </c>
      <c r="D35" s="64">
        <v>1.0481357469783452</v>
      </c>
      <c r="G35" s="67"/>
      <c r="I35" s="71">
        <v>645583.8600000001</v>
      </c>
      <c r="J35" s="66">
        <v>757633.26245699986</v>
      </c>
      <c r="K35" s="22">
        <v>1.1735628930639619</v>
      </c>
      <c r="N35" s="67"/>
      <c r="P35" s="65">
        <v>360641.99</v>
      </c>
      <c r="Q35" s="66">
        <v>379172.60770999995</v>
      </c>
      <c r="R35" s="22">
        <v>1.0513823077285038</v>
      </c>
      <c r="S35" s="1">
        <f>SUM(S28:S28)</f>
        <v>164</v>
      </c>
      <c r="T35" s="1">
        <f>SUM(T28:T28)</f>
        <v>190</v>
      </c>
      <c r="U35" s="67">
        <f t="shared" ref="U35" si="20">IFERROR(T35/S35,0)</f>
        <v>1.1585365853658536</v>
      </c>
      <c r="W35" s="62"/>
      <c r="Y35" s="61"/>
    </row>
    <row r="36" spans="1:25" x14ac:dyDescent="0.25">
      <c r="A36" s="20" t="s">
        <v>8</v>
      </c>
      <c r="B36" s="73">
        <f>SUM(B33:B35)</f>
        <v>68521159.180000007</v>
      </c>
      <c r="C36" s="52">
        <f t="shared" ref="C36" si="21">SUM(C33:C35)</f>
        <v>60051484.050093025</v>
      </c>
      <c r="D36" s="53">
        <f>IFERROR(C36/B36,0)</f>
        <v>0.87639328885756629</v>
      </c>
      <c r="E36" s="54">
        <f t="shared" ref="E36:F36" si="22">SUM(E33:E35)</f>
        <v>0</v>
      </c>
      <c r="F36" s="54">
        <f t="shared" si="22"/>
        <v>0</v>
      </c>
      <c r="G36" s="55">
        <f>IFERROR(F36/E36,0)</f>
        <v>0</v>
      </c>
      <c r="H36" s="4"/>
      <c r="I36" s="51">
        <f t="shared" ref="I36:J36" si="23">SUM(I33:I35)</f>
        <v>5870569.7400000002</v>
      </c>
      <c r="J36" s="52">
        <f t="shared" si="23"/>
        <v>4192871.3980639996</v>
      </c>
      <c r="K36" s="53">
        <f t="shared" ref="K36" si="24">IFERROR(J36/I36,0)</f>
        <v>0.71421882095961597</v>
      </c>
      <c r="L36" s="54">
        <f t="shared" ref="L36:M36" si="25">SUM(L33:L35)</f>
        <v>0</v>
      </c>
      <c r="M36" s="54">
        <f t="shared" si="25"/>
        <v>0</v>
      </c>
      <c r="N36" s="55">
        <f t="shared" ref="N36" si="26">IFERROR(M36/L36,0)</f>
        <v>0</v>
      </c>
      <c r="O36" s="4"/>
      <c r="P36" s="51">
        <f t="shared" ref="P36:Q36" si="27">SUM(P33:P35)</f>
        <v>3927498.2199999997</v>
      </c>
      <c r="Q36" s="52">
        <f t="shared" si="27"/>
        <v>2934098.1163739995</v>
      </c>
      <c r="R36" s="53">
        <f t="shared" ref="R36" si="28">IFERROR(Q36/P36,0)</f>
        <v>0.74706542231711048</v>
      </c>
      <c r="S36" s="54">
        <f t="shared" ref="S36:T36" si="29">SUM(S33:S35)</f>
        <v>164</v>
      </c>
      <c r="T36" s="54">
        <f t="shared" si="29"/>
        <v>190</v>
      </c>
      <c r="U36" s="55">
        <f t="shared" ref="U36" si="30">IFERROR(T36/S36,0)</f>
        <v>1.1585365853658536</v>
      </c>
      <c r="W36" s="23"/>
      <c r="X36" s="24" cm="1">
        <f t="array" ref="X36">(_xlfn.IFS(D36&lt;70%,0,AND(D36&gt;=70%,D36&lt;=120%),D36*60%,D36&gt;120%,120%*60%))+(_xlfn.IFS(K36&lt;70%,0,AND(K36&gt;=70%,K36&lt;=120%),K36*15%,K36&gt;120%,120%*15%))+(_xlfn.IFS(R36&lt;70%,0,AND(R36&gt;=70%,R36&lt;=120%),R36*25%,R36&gt;120%,120%*25%))</f>
        <v>0.81973515203775982</v>
      </c>
      <c r="Y36" s="29">
        <f>X36*(W36)</f>
        <v>0</v>
      </c>
    </row>
    <row r="37" spans="1:25" x14ac:dyDescent="0.25">
      <c r="A37" t="s">
        <v>49</v>
      </c>
      <c r="B37" s="71">
        <v>13063987</v>
      </c>
      <c r="C37" s="66">
        <v>13095364.798137009</v>
      </c>
      <c r="D37" s="64">
        <v>1.0024018546663442</v>
      </c>
      <c r="E37" s="1">
        <v>0</v>
      </c>
      <c r="F37" s="1">
        <v>165</v>
      </c>
      <c r="G37" s="67"/>
      <c r="I37" s="65">
        <v>593705</v>
      </c>
      <c r="J37" s="66">
        <v>563108.39757999999</v>
      </c>
      <c r="K37" s="22">
        <v>0.9484649743222644</v>
      </c>
      <c r="L37" s="1">
        <v>0</v>
      </c>
      <c r="M37" s="1">
        <v>69</v>
      </c>
      <c r="N37" s="67"/>
      <c r="P37" s="65">
        <v>514282</v>
      </c>
      <c r="Q37" s="66">
        <v>700269.29597899993</v>
      </c>
      <c r="R37" s="22">
        <v>1.3616445762811062</v>
      </c>
      <c r="S37" s="1">
        <v>0</v>
      </c>
      <c r="T37" s="1">
        <v>108</v>
      </c>
      <c r="U37" s="67"/>
      <c r="W37" s="62"/>
      <c r="Y37" s="61"/>
    </row>
    <row r="38" spans="1:25" x14ac:dyDescent="0.25">
      <c r="A38" t="s">
        <v>48</v>
      </c>
      <c r="B38" s="71">
        <v>13165423.800000001</v>
      </c>
      <c r="C38" s="66">
        <v>11348060.948514003</v>
      </c>
      <c r="D38" s="64">
        <v>0.86195941132666032</v>
      </c>
      <c r="E38" s="1">
        <v>0</v>
      </c>
      <c r="F38" s="1">
        <v>169</v>
      </c>
      <c r="G38" s="67"/>
      <c r="I38" s="65">
        <v>670792.03</v>
      </c>
      <c r="J38" s="66">
        <v>641256.90009999997</v>
      </c>
      <c r="K38" s="22">
        <v>0.95596976621800345</v>
      </c>
      <c r="L38" s="1">
        <v>0</v>
      </c>
      <c r="M38" s="1">
        <v>73</v>
      </c>
      <c r="N38" s="67"/>
      <c r="P38" s="65">
        <v>548138.29999999993</v>
      </c>
      <c r="Q38" s="66">
        <v>421211.51931999996</v>
      </c>
      <c r="R38" s="22">
        <v>0.76844022634433684</v>
      </c>
      <c r="S38" s="1">
        <v>0</v>
      </c>
      <c r="T38" s="1">
        <v>88</v>
      </c>
      <c r="U38" s="67"/>
      <c r="W38" s="62"/>
      <c r="Y38" s="61"/>
    </row>
    <row r="39" spans="1:25" x14ac:dyDescent="0.25">
      <c r="A39" t="s">
        <v>47</v>
      </c>
      <c r="B39" s="65">
        <v>3974845.9900000007</v>
      </c>
      <c r="C39" s="66">
        <v>6286467.3296399964</v>
      </c>
      <c r="D39" s="64">
        <f t="shared" ref="D39" si="31">IFERROR(C39/B39,0)</f>
        <v>1.5815624920954472</v>
      </c>
      <c r="E39" s="1">
        <v>0</v>
      </c>
      <c r="F39" s="1">
        <v>120</v>
      </c>
      <c r="G39" s="67"/>
      <c r="I39" s="65">
        <v>149413.86000000002</v>
      </c>
      <c r="J39" s="66">
        <v>439517.244244</v>
      </c>
      <c r="K39" s="64">
        <f t="shared" ref="K39" si="32">IFERROR(J39/I39,0)</f>
        <v>2.9416095952811872</v>
      </c>
      <c r="L39" s="1">
        <v>0</v>
      </c>
      <c r="M39" s="1">
        <v>36</v>
      </c>
      <c r="N39" s="67"/>
      <c r="P39" s="65">
        <v>39590.82</v>
      </c>
      <c r="Q39" s="66">
        <v>147097.295472</v>
      </c>
      <c r="R39" s="64">
        <f t="shared" ref="R39" si="33">IFERROR(Q39/P39,0)</f>
        <v>3.7154394749085773</v>
      </c>
      <c r="S39" s="1">
        <v>0</v>
      </c>
      <c r="T39" s="1">
        <v>57</v>
      </c>
      <c r="U39" s="67"/>
      <c r="W39" s="62"/>
      <c r="Y39" s="61"/>
    </row>
    <row r="40" spans="1:25" x14ac:dyDescent="0.25">
      <c r="A40" s="20" t="s">
        <v>37</v>
      </c>
      <c r="B40" s="56">
        <f>SUM(B37:B39)</f>
        <v>30204256.790000003</v>
      </c>
      <c r="C40" s="57">
        <f>SUM(C37:C39)</f>
        <v>30729893.07629101</v>
      </c>
      <c r="D40" s="58">
        <f>IFERROR(C40/B40,0)</f>
        <v>1.0174027220714477</v>
      </c>
      <c r="E40" s="59">
        <f t="shared" ref="E40:F40" si="34">SUM(E37:E39)</f>
        <v>0</v>
      </c>
      <c r="F40" s="59">
        <f t="shared" si="34"/>
        <v>454</v>
      </c>
      <c r="G40" s="60">
        <f t="shared" ref="G40" si="35">IFERROR(F40/E40,0)</f>
        <v>0</v>
      </c>
      <c r="H40" s="4"/>
      <c r="I40" s="56">
        <f t="shared" ref="I40:J40" si="36">SUM(I37:I39)</f>
        <v>1413910.8900000001</v>
      </c>
      <c r="J40" s="57">
        <f t="shared" si="36"/>
        <v>1643882.5419239998</v>
      </c>
      <c r="K40" s="58">
        <f>IFERROR(J40/I40,0)</f>
        <v>1.162649325039147</v>
      </c>
      <c r="L40" s="59">
        <f t="shared" ref="L40:M40" si="37">SUM(L37:L39)</f>
        <v>0</v>
      </c>
      <c r="M40" s="59">
        <f t="shared" si="37"/>
        <v>178</v>
      </c>
      <c r="N40" s="60">
        <f t="shared" ref="N40" si="38">IFERROR(M40/L40,0)</f>
        <v>0</v>
      </c>
      <c r="O40" s="4"/>
      <c r="P40" s="56">
        <f t="shared" ref="P40:Q40" si="39">SUM(P37:P39)</f>
        <v>1102011.1199999999</v>
      </c>
      <c r="Q40" s="57">
        <f t="shared" si="39"/>
        <v>1268578.1107709999</v>
      </c>
      <c r="R40" s="58">
        <f>IFERROR(Q40/P40,0)</f>
        <v>1.1511481941951729</v>
      </c>
      <c r="S40" s="59">
        <f t="shared" ref="S40:T40" si="40">SUM(S37:S39)</f>
        <v>0</v>
      </c>
      <c r="T40" s="59">
        <f t="shared" si="40"/>
        <v>253</v>
      </c>
      <c r="U40" s="60">
        <f t="shared" ref="U40" si="41">IFERROR(T40/S40,0)</f>
        <v>0</v>
      </c>
      <c r="W40" s="25"/>
      <c r="X40" s="26" cm="1">
        <f t="array" ref="X40">(_xlfn.IFS(D40&lt;70%,0,AND(D40&gt;=70%,D40&lt;=120%),D40*60%,D40&gt;120%,120%*60%))+(_xlfn.IFS(K40&lt;70%,0,AND(K40&gt;=70%,K40&lt;=120%),K40*15%,K40&gt;120%,120%*15%))+(_xlfn.IFS(R40&lt;70%,0,AND(R40&gt;=70%,R40&lt;=120%),R40*25%,R40&gt;120%,120%*25%))</f>
        <v>1.0726260805475338</v>
      </c>
      <c r="Y40" s="30">
        <f>X40*(W40)</f>
        <v>0</v>
      </c>
    </row>
    <row r="41" spans="1:25" x14ac:dyDescent="0.25">
      <c r="B41" s="16"/>
      <c r="C41" s="16"/>
      <c r="D41" s="22"/>
      <c r="E41" s="31"/>
      <c r="F41" s="31"/>
      <c r="G41" s="22"/>
      <c r="I41" s="16"/>
      <c r="J41" s="16"/>
      <c r="K41" s="22"/>
      <c r="L41" s="31"/>
      <c r="M41" s="31"/>
      <c r="N41" s="22"/>
      <c r="P41" s="16"/>
      <c r="Q41" s="16"/>
      <c r="R41" s="22"/>
      <c r="S41" s="31"/>
      <c r="T41" s="31"/>
      <c r="U41" s="22"/>
      <c r="X41" s="43"/>
      <c r="Y41" s="44"/>
    </row>
    <row r="42" spans="1:25" x14ac:dyDescent="0.25">
      <c r="A42" s="2"/>
      <c r="B42" s="146" t="s">
        <v>16</v>
      </c>
      <c r="C42" s="147"/>
      <c r="D42" s="148"/>
      <c r="E42" s="4"/>
      <c r="F42" s="4"/>
      <c r="G42" s="4"/>
      <c r="H42" s="4"/>
      <c r="I42" s="149" t="s">
        <v>17</v>
      </c>
      <c r="J42" s="150"/>
      <c r="K42" s="151"/>
      <c r="L42" s="4"/>
      <c r="M42" s="4"/>
      <c r="N42" s="4"/>
      <c r="O42" s="4"/>
      <c r="P42" s="140" t="s">
        <v>18</v>
      </c>
      <c r="Q42" s="141"/>
      <c r="R42" s="142"/>
      <c r="S42" s="4"/>
      <c r="T42" s="4"/>
      <c r="U42" s="4"/>
      <c r="V42" s="3"/>
      <c r="W42" s="143" t="s">
        <v>20</v>
      </c>
      <c r="X42" s="144"/>
      <c r="Y42" s="145"/>
    </row>
    <row r="43" spans="1:25" x14ac:dyDescent="0.25">
      <c r="A43" s="21"/>
      <c r="B43" s="137" t="s">
        <v>14</v>
      </c>
      <c r="C43" s="138"/>
      <c r="D43" s="139"/>
      <c r="E43" s="4"/>
      <c r="F43" s="4"/>
      <c r="G43" s="4"/>
      <c r="H43" s="4"/>
      <c r="I43" s="137" t="s">
        <v>14</v>
      </c>
      <c r="J43" s="138"/>
      <c r="K43" s="139"/>
      <c r="L43" s="4"/>
      <c r="M43" s="4"/>
      <c r="N43" s="4"/>
      <c r="O43" s="4"/>
      <c r="P43" s="137" t="s">
        <v>14</v>
      </c>
      <c r="Q43" s="138"/>
      <c r="R43" s="139"/>
      <c r="S43" s="4"/>
      <c r="T43" s="4"/>
      <c r="U43" s="4"/>
      <c r="V43" s="3"/>
      <c r="W43" s="5"/>
      <c r="X43" s="6"/>
      <c r="Y43" s="7"/>
    </row>
    <row r="44" spans="1:25" x14ac:dyDescent="0.25">
      <c r="A44" s="20" t="s">
        <v>23</v>
      </c>
      <c r="B44" s="8" t="s">
        <v>11</v>
      </c>
      <c r="C44" s="9" t="s">
        <v>12</v>
      </c>
      <c r="D44" s="10" t="s">
        <v>13</v>
      </c>
      <c r="E44" s="4"/>
      <c r="F44" s="4"/>
      <c r="G44" s="4"/>
      <c r="H44" s="4"/>
      <c r="I44" s="8" t="s">
        <v>11</v>
      </c>
      <c r="J44" s="9" t="s">
        <v>12</v>
      </c>
      <c r="K44" s="10" t="s">
        <v>13</v>
      </c>
      <c r="L44" s="4"/>
      <c r="M44" s="4"/>
      <c r="N44" s="4"/>
      <c r="O44" s="4"/>
      <c r="P44" s="8" t="s">
        <v>11</v>
      </c>
      <c r="Q44" s="9" t="s">
        <v>12</v>
      </c>
      <c r="R44" s="10" t="s">
        <v>13</v>
      </c>
      <c r="S44" s="4"/>
      <c r="T44" s="4"/>
      <c r="U44" s="4"/>
      <c r="V44" s="3"/>
      <c r="W44" s="8" t="s">
        <v>1</v>
      </c>
      <c r="X44" s="9" t="s">
        <v>19</v>
      </c>
      <c r="Y44" s="10" t="s">
        <v>20</v>
      </c>
    </row>
    <row r="45" spans="1:25" x14ac:dyDescent="0.25">
      <c r="A45" t="s">
        <v>7</v>
      </c>
      <c r="B45" s="15">
        <f t="shared" ref="B45:C48" si="42">SUM(B$4:B$23)</f>
        <v>8994918.8400000017</v>
      </c>
      <c r="C45" s="16">
        <f t="shared" si="42"/>
        <v>9427895.9773729928</v>
      </c>
      <c r="D45" s="12">
        <f t="shared" ref="D45:D48" si="43">IFERROR(C45/B45,0)</f>
        <v>1.0481357469783452</v>
      </c>
      <c r="E45" s="31"/>
      <c r="F45" s="31"/>
      <c r="G45" s="22"/>
      <c r="I45" s="15">
        <f t="shared" ref="I45:J48" si="44">SUM(I$4:I$23)</f>
        <v>645583.8600000001</v>
      </c>
      <c r="J45" s="16">
        <f t="shared" si="44"/>
        <v>757633.26245699986</v>
      </c>
      <c r="K45" s="12">
        <f t="shared" ref="K45:K48" si="45">IFERROR(J45/I45,0)</f>
        <v>1.1735628930639619</v>
      </c>
      <c r="L45" s="31"/>
      <c r="M45" s="31"/>
      <c r="N45" s="22"/>
      <c r="P45" s="15">
        <f t="shared" ref="P45:Q48" si="46">SUM(P$4:P$23)</f>
        <v>360641.99</v>
      </c>
      <c r="Q45" s="16">
        <f t="shared" si="46"/>
        <v>379172.60770999995</v>
      </c>
      <c r="R45" s="12">
        <f t="shared" ref="R45:R48" si="47">IFERROR(Q45/P45,0)</f>
        <v>1.0513823077285038</v>
      </c>
      <c r="S45" s="31"/>
      <c r="T45" s="31"/>
      <c r="U45" s="22"/>
      <c r="W45" s="23"/>
      <c r="X45" s="24" cm="1">
        <f t="array" ref="X45">(_xlfn.IFS(D45&lt;70%,0,AND(D45&gt;=70%,D45&lt;=120%),D45*60%,D45&gt;120%,120%*60%))+(_xlfn.IFS(K45&lt;70%,0,AND(K45&gt;=70%,K45&lt;=120%),K45*15%,K45&gt;120%,120%*15%))+(_xlfn.IFS(R45&lt;70%,0,AND(R45&gt;=70%,R45&lt;=120%),R45*25%,R45&gt;120%,120%*25%))</f>
        <v>1.0677614590787274</v>
      </c>
      <c r="Y45" s="29">
        <f>X45*(W45/4)</f>
        <v>0</v>
      </c>
    </row>
    <row r="46" spans="1:25" x14ac:dyDescent="0.25">
      <c r="A46" t="s">
        <v>43</v>
      </c>
      <c r="B46" s="15">
        <f t="shared" si="42"/>
        <v>8994918.8400000017</v>
      </c>
      <c r="C46" s="16">
        <f t="shared" si="42"/>
        <v>9427895.9773729928</v>
      </c>
      <c r="D46" s="12">
        <f t="shared" si="43"/>
        <v>1.0481357469783452</v>
      </c>
      <c r="I46" s="15">
        <f t="shared" si="44"/>
        <v>645583.8600000001</v>
      </c>
      <c r="J46" s="16">
        <f t="shared" si="44"/>
        <v>757633.26245699986</v>
      </c>
      <c r="K46" s="12">
        <f t="shared" si="45"/>
        <v>1.1735628930639619</v>
      </c>
      <c r="P46" s="15">
        <f t="shared" si="46"/>
        <v>360641.99</v>
      </c>
      <c r="Q46" s="16">
        <f t="shared" si="46"/>
        <v>379172.60770999995</v>
      </c>
      <c r="R46" s="12">
        <f t="shared" si="47"/>
        <v>1.0513823077285038</v>
      </c>
      <c r="U46" s="42"/>
      <c r="W46" s="23"/>
      <c r="X46" s="24" cm="1">
        <f t="array" ref="X46">(_xlfn.IFS(D46&lt;70%,0,AND(D46&gt;=70%,D46&lt;=120%),D46*60%,D46&gt;120%,120%*60%))+(_xlfn.IFS(K46&lt;70%,0,AND(K46&gt;=70%,K46&lt;=120%),K46*15%,K46&gt;120%,120%*15%))+(_xlfn.IFS(R46&lt;70%,0,AND(R46&gt;=70%,R46&lt;=120%),R46*25%,R46&gt;120%,120%*25%))</f>
        <v>1.0677614590787274</v>
      </c>
      <c r="Y46" s="29">
        <f>X46*(W46/4)</f>
        <v>0</v>
      </c>
    </row>
    <row r="47" spans="1:25" x14ac:dyDescent="0.25">
      <c r="A47" t="s">
        <v>38</v>
      </c>
      <c r="B47" s="15">
        <f t="shared" si="42"/>
        <v>8994918.8400000017</v>
      </c>
      <c r="C47" s="16">
        <f t="shared" si="42"/>
        <v>9427895.9773729928</v>
      </c>
      <c r="D47" s="12">
        <f t="shared" ref="D47" si="48">IFERROR(C47/B47,0)</f>
        <v>1.0481357469783452</v>
      </c>
      <c r="I47" s="15">
        <f t="shared" si="44"/>
        <v>645583.8600000001</v>
      </c>
      <c r="J47" s="16">
        <f t="shared" si="44"/>
        <v>757633.26245699986</v>
      </c>
      <c r="K47" s="12">
        <f t="shared" ref="K47" si="49">IFERROR(J47/I47,0)</f>
        <v>1.1735628930639619</v>
      </c>
      <c r="P47" s="15">
        <f t="shared" si="46"/>
        <v>360641.99</v>
      </c>
      <c r="Q47" s="16">
        <f t="shared" si="46"/>
        <v>379172.60770999995</v>
      </c>
      <c r="R47" s="12">
        <f t="shared" ref="R47" si="50">IFERROR(Q47/P47,0)</f>
        <v>1.0513823077285038</v>
      </c>
      <c r="U47" s="42"/>
      <c r="W47" s="23"/>
      <c r="X47" s="24" cm="1">
        <f t="array" ref="X47">(_xlfn.IFS(D47&lt;70%,0,AND(D47&gt;=70%,D47&lt;=120%),D47*60%,D47&gt;120%,120%*60%))+(_xlfn.IFS(K47&lt;70%,0,AND(K47&gt;=70%,K47&lt;=120%),K47*15%,K47&gt;120%,120%*15%))+(_xlfn.IFS(R47&lt;70%,0,AND(R47&gt;=70%,R47&lt;=120%),R47*25%,R47&gt;120%,120%*25%))</f>
        <v>1.0677614590787274</v>
      </c>
      <c r="Y47" s="29">
        <f>X47*(W47/4)</f>
        <v>0</v>
      </c>
    </row>
    <row r="48" spans="1:25" x14ac:dyDescent="0.25">
      <c r="A48" t="s">
        <v>31</v>
      </c>
      <c r="B48" s="17">
        <f t="shared" si="42"/>
        <v>8994918.8400000017</v>
      </c>
      <c r="C48" s="18">
        <f t="shared" si="42"/>
        <v>9427895.9773729928</v>
      </c>
      <c r="D48" s="14">
        <f t="shared" si="43"/>
        <v>1.0481357469783452</v>
      </c>
      <c r="I48" s="17">
        <f t="shared" si="44"/>
        <v>645583.8600000001</v>
      </c>
      <c r="J48" s="18">
        <f t="shared" si="44"/>
        <v>757633.26245699986</v>
      </c>
      <c r="K48" s="14">
        <f t="shared" si="45"/>
        <v>1.1735628930639619</v>
      </c>
      <c r="P48" s="17">
        <f t="shared" si="46"/>
        <v>360641.99</v>
      </c>
      <c r="Q48" s="18">
        <f t="shared" si="46"/>
        <v>379172.60770999995</v>
      </c>
      <c r="R48" s="14">
        <f t="shared" si="47"/>
        <v>1.0513823077285038</v>
      </c>
      <c r="U48" s="42"/>
      <c r="W48" s="25"/>
      <c r="X48" s="26" cm="1">
        <f t="array" ref="X48">(_xlfn.IFS(D48&lt;70%,0,AND(D48&gt;=70%,D48&lt;=120%),D48*60%,D48&gt;120%,120%*60%))+(_xlfn.IFS(K48&lt;70%,0,AND(K48&gt;=70%,K48&lt;=120%),K48*15%,K48&gt;120%,120%*15%))+(_xlfn.IFS(R48&lt;70%,0,AND(R48&gt;=70%,R48&lt;=120%),R48*25%,R48&gt;120%,120%*25%))</f>
        <v>1.0677614590787274</v>
      </c>
      <c r="Y48" s="30">
        <f>X48*(W48/4)</f>
        <v>0</v>
      </c>
    </row>
    <row r="50" spans="1:32" x14ac:dyDescent="0.25">
      <c r="A50" s="2"/>
      <c r="B50" s="152" t="s">
        <v>16</v>
      </c>
      <c r="C50" s="153"/>
      <c r="D50" s="154"/>
      <c r="E50" s="4"/>
      <c r="F50" s="4"/>
      <c r="G50" s="4"/>
      <c r="H50" s="4"/>
      <c r="I50" s="155" t="s">
        <v>17</v>
      </c>
      <c r="J50" s="156"/>
      <c r="K50" s="157"/>
      <c r="L50" s="4"/>
      <c r="M50" s="4"/>
      <c r="N50" s="4"/>
      <c r="O50" s="4"/>
      <c r="P50" s="158" t="s">
        <v>18</v>
      </c>
      <c r="Q50" s="159"/>
      <c r="R50" s="160"/>
      <c r="S50" s="4"/>
      <c r="T50" s="4"/>
      <c r="U50" s="4"/>
      <c r="V50" s="3"/>
      <c r="W50" s="134" t="s">
        <v>20</v>
      </c>
      <c r="X50" s="135"/>
      <c r="Y50" s="136"/>
    </row>
    <row r="51" spans="1:32" x14ac:dyDescent="0.25">
      <c r="A51" s="21"/>
      <c r="B51" s="137" t="s">
        <v>14</v>
      </c>
      <c r="C51" s="138"/>
      <c r="D51" s="139"/>
      <c r="E51" s="4"/>
      <c r="F51" s="4"/>
      <c r="G51" s="4"/>
      <c r="H51" s="4"/>
      <c r="I51" s="137" t="s">
        <v>14</v>
      </c>
      <c r="J51" s="138"/>
      <c r="K51" s="139"/>
      <c r="L51" s="4"/>
      <c r="M51" s="4"/>
      <c r="N51" s="4"/>
      <c r="O51" s="4"/>
      <c r="P51" s="137" t="s">
        <v>14</v>
      </c>
      <c r="Q51" s="138"/>
      <c r="R51" s="139"/>
      <c r="S51" s="4"/>
      <c r="T51" s="4"/>
      <c r="U51" s="4"/>
      <c r="V51" s="3"/>
      <c r="W51" s="5"/>
      <c r="X51" s="6"/>
      <c r="Y51" s="7"/>
    </row>
    <row r="52" spans="1:32" x14ac:dyDescent="0.25">
      <c r="A52" s="20" t="s">
        <v>26</v>
      </c>
      <c r="B52" s="8" t="s">
        <v>11</v>
      </c>
      <c r="C52" s="9" t="s">
        <v>12</v>
      </c>
      <c r="D52" s="10" t="s">
        <v>13</v>
      </c>
      <c r="E52" s="4"/>
      <c r="F52" s="4"/>
      <c r="G52" s="4"/>
      <c r="H52" s="4"/>
      <c r="I52" s="8" t="s">
        <v>11</v>
      </c>
      <c r="J52" s="9" t="s">
        <v>12</v>
      </c>
      <c r="K52" s="10" t="s">
        <v>13</v>
      </c>
      <c r="L52" s="4"/>
      <c r="M52" s="4"/>
      <c r="N52" s="4"/>
      <c r="O52" s="4"/>
      <c r="P52" s="8" t="s">
        <v>11</v>
      </c>
      <c r="Q52" s="9" t="s">
        <v>12</v>
      </c>
      <c r="R52" s="10" t="s">
        <v>13</v>
      </c>
      <c r="S52" s="4"/>
      <c r="T52" s="4"/>
      <c r="U52" s="4"/>
      <c r="V52" s="3"/>
      <c r="W52" s="8" t="s">
        <v>1</v>
      </c>
      <c r="X52" s="9" t="s">
        <v>19</v>
      </c>
      <c r="Y52" s="10" t="s">
        <v>20</v>
      </c>
    </row>
    <row r="53" spans="1:32" x14ac:dyDescent="0.25">
      <c r="A53" t="s">
        <v>27</v>
      </c>
      <c r="B53" s="15">
        <f t="shared" ref="B53:C56" si="51">SUM(B$4:B$23)</f>
        <v>8994918.8400000017</v>
      </c>
      <c r="C53" s="16">
        <f t="shared" si="51"/>
        <v>9427895.9773729928</v>
      </c>
      <c r="D53" s="12">
        <f t="shared" ref="D53:D56" si="52">IFERROR(C53/B53,0)</f>
        <v>1.0481357469783452</v>
      </c>
      <c r="E53" s="31"/>
      <c r="F53" s="31"/>
      <c r="G53" s="22"/>
      <c r="I53" s="15">
        <f t="shared" ref="I53:J56" si="53">SUM(I$4:I$23)</f>
        <v>645583.8600000001</v>
      </c>
      <c r="J53" s="16">
        <f t="shared" si="53"/>
        <v>757633.26245699986</v>
      </c>
      <c r="K53" s="12">
        <f t="shared" ref="K53:K56" si="54">IFERROR(J53/I53,0)</f>
        <v>1.1735628930639619</v>
      </c>
      <c r="L53" s="31"/>
      <c r="M53" s="31"/>
      <c r="N53" s="22"/>
      <c r="P53" s="15">
        <f t="shared" ref="P53:Q56" si="55">SUM(P$4:P$23)</f>
        <v>360641.99</v>
      </c>
      <c r="Q53" s="16">
        <f t="shared" si="55"/>
        <v>379172.60770999995</v>
      </c>
      <c r="R53" s="12">
        <f>IFERROR(Q53/P53,0)</f>
        <v>1.0513823077285038</v>
      </c>
      <c r="S53" s="31"/>
      <c r="T53" s="31"/>
      <c r="U53" s="22"/>
      <c r="W53" s="23"/>
      <c r="X53" s="24" cm="1">
        <f t="array" ref="X53">(_xlfn.IFS(D53&lt;70%,0,AND(D53&gt;=70%,D53&lt;=120%),D53*60%,D53&gt;120%,120%*60%))+(_xlfn.IFS(K53&lt;70%,0,AND(K53&gt;=70%,K53&lt;=120%),K53*15%,K53&gt;120%,120%*15%))+(_xlfn.IFS(R53&lt;70%,0,AND(R53&gt;=70%,R53&lt;=120%),R53*25%,R53&gt;120%,120%*25%))</f>
        <v>1.0677614590787274</v>
      </c>
      <c r="Y53" s="29">
        <f>X53*(W53*0.15)</f>
        <v>0</v>
      </c>
    </row>
    <row r="54" spans="1:32" x14ac:dyDescent="0.25">
      <c r="A54" t="s">
        <v>32</v>
      </c>
      <c r="B54" s="15">
        <f t="shared" si="51"/>
        <v>8994918.8400000017</v>
      </c>
      <c r="C54" s="16">
        <f t="shared" si="51"/>
        <v>9427895.9773729928</v>
      </c>
      <c r="D54" s="12">
        <f t="shared" si="52"/>
        <v>1.0481357469783452</v>
      </c>
      <c r="E54" s="31"/>
      <c r="F54" s="31"/>
      <c r="G54" s="22"/>
      <c r="I54" s="15">
        <f t="shared" si="53"/>
        <v>645583.8600000001</v>
      </c>
      <c r="J54" s="16">
        <f t="shared" si="53"/>
        <v>757633.26245699986</v>
      </c>
      <c r="K54" s="12">
        <f t="shared" ref="K54" si="56">IFERROR(J54/I54,0)</f>
        <v>1.1735628930639619</v>
      </c>
      <c r="L54" s="31"/>
      <c r="M54" s="31"/>
      <c r="N54" s="22"/>
      <c r="P54" s="15">
        <f t="shared" si="55"/>
        <v>360641.99</v>
      </c>
      <c r="Q54" s="16">
        <f t="shared" si="55"/>
        <v>379172.60770999995</v>
      </c>
      <c r="R54" s="12">
        <f>IFERROR(Q54/P54,0)</f>
        <v>1.0513823077285038</v>
      </c>
      <c r="S54" s="31"/>
      <c r="T54" s="31"/>
      <c r="U54" s="22"/>
      <c r="W54" s="23"/>
      <c r="X54" s="24" cm="1">
        <f t="array" ref="X54">(_xlfn.IFS(D54&lt;70%,0,AND(D54&gt;=70%,D54&lt;=120%),D54*60%,D54&gt;120%,120%*60%))+(_xlfn.IFS(K54&lt;70%,0,AND(K54&gt;=70%,K54&lt;=120%),K54*15%,K54&gt;120%,120%*15%))+(_xlfn.IFS(R54&lt;70%,0,AND(R54&gt;=70%,R54&lt;=120%),R54*25%,R54&gt;120%,120%*25%))</f>
        <v>1.0677614590787274</v>
      </c>
      <c r="Y54" s="29">
        <f>X54*(W54*0.15)</f>
        <v>0</v>
      </c>
    </row>
    <row r="55" spans="1:32" x14ac:dyDescent="0.25">
      <c r="A55" t="s">
        <v>39</v>
      </c>
      <c r="B55" s="15">
        <f t="shared" si="51"/>
        <v>8994918.8400000017</v>
      </c>
      <c r="C55" s="16">
        <f t="shared" si="51"/>
        <v>9427895.9773729928</v>
      </c>
      <c r="D55" s="12">
        <f t="shared" ref="D55" si="57">IFERROR(C55/B55,0)</f>
        <v>1.0481357469783452</v>
      </c>
      <c r="E55" s="31"/>
      <c r="F55" s="31"/>
      <c r="G55" s="22"/>
      <c r="I55" s="15">
        <f t="shared" si="53"/>
        <v>645583.8600000001</v>
      </c>
      <c r="J55" s="16">
        <f t="shared" si="53"/>
        <v>757633.26245699986</v>
      </c>
      <c r="K55" s="12">
        <f t="shared" ref="K55" si="58">IFERROR(J55/I55,0)</f>
        <v>1.1735628930639619</v>
      </c>
      <c r="L55" s="31"/>
      <c r="M55" s="31"/>
      <c r="N55" s="22"/>
      <c r="P55" s="15">
        <f t="shared" si="55"/>
        <v>360641.99</v>
      </c>
      <c r="Q55" s="16">
        <f t="shared" si="55"/>
        <v>379172.60770999995</v>
      </c>
      <c r="R55" s="12">
        <f>IFERROR(Q55/P55,0)</f>
        <v>1.0513823077285038</v>
      </c>
      <c r="S55" s="31"/>
      <c r="T55" s="31"/>
      <c r="U55" s="22"/>
      <c r="W55" s="23"/>
      <c r="X55" s="24" cm="1">
        <f t="array" ref="X55">(_xlfn.IFS(D55&lt;70%,0,AND(D55&gt;=70%,D55&lt;=120%),D55*60%,D55&gt;120%,120%*60%))+(_xlfn.IFS(K55&lt;70%,0,AND(K55&gt;=70%,K55&lt;=120%),K55*15%,K55&gt;120%,120%*15%))+(_xlfn.IFS(R55&lt;70%,0,AND(R55&gt;=70%,R55&lt;=120%),R55*25%,R55&gt;120%,120%*25%))</f>
        <v>1.0677614590787274</v>
      </c>
      <c r="Y55" s="29">
        <f>X55*(W55*0.15)</f>
        <v>0</v>
      </c>
    </row>
    <row r="56" spans="1:32" x14ac:dyDescent="0.25">
      <c r="A56" t="s">
        <v>28</v>
      </c>
      <c r="B56" s="17">
        <f t="shared" si="51"/>
        <v>8994918.8400000017</v>
      </c>
      <c r="C56" s="18">
        <f t="shared" si="51"/>
        <v>9427895.9773729928</v>
      </c>
      <c r="D56" s="14">
        <f t="shared" si="52"/>
        <v>1.0481357469783452</v>
      </c>
      <c r="E56" s="31"/>
      <c r="F56" s="31"/>
      <c r="G56" s="22"/>
      <c r="I56" s="17">
        <f t="shared" si="53"/>
        <v>645583.8600000001</v>
      </c>
      <c r="J56" s="18">
        <f t="shared" si="53"/>
        <v>757633.26245699986</v>
      </c>
      <c r="K56" s="14">
        <f t="shared" si="54"/>
        <v>1.1735628930639619</v>
      </c>
      <c r="L56" s="31"/>
      <c r="M56" s="31"/>
      <c r="N56" s="22"/>
      <c r="P56" s="17">
        <f t="shared" si="55"/>
        <v>360641.99</v>
      </c>
      <c r="Q56" s="18">
        <f t="shared" si="55"/>
        <v>379172.60770999995</v>
      </c>
      <c r="R56" s="14">
        <f t="shared" ref="R56" si="59">IFERROR(Q56/P56,0)</f>
        <v>1.0513823077285038</v>
      </c>
      <c r="S56" s="31"/>
      <c r="T56" s="31"/>
      <c r="U56" s="22"/>
      <c r="W56" s="25"/>
      <c r="X56" s="26" cm="1">
        <f t="array" ref="X56">(_xlfn.IFS(D56&lt;70%,0,AND(D56&gt;=70%,D56&lt;=120%),D56*60%,D56&gt;120%,120%*60%))+(_xlfn.IFS(K56&lt;70%,0,AND(K56&gt;=70%,K56&lt;=120%),K56*15%,K56&gt;120%,120%*15%))+(_xlfn.IFS(R56&lt;70%,0,AND(R56&gt;=70%,R56&lt;=120%),R56*25%,R56&gt;120%,120%*25%))</f>
        <v>1.0677614590787274</v>
      </c>
      <c r="Y56" s="30">
        <f>X56*(W56*0.15)</f>
        <v>0</v>
      </c>
      <c r="AF56" s="45"/>
    </row>
  </sheetData>
  <sheetProtection selectLockedCells="1"/>
  <mergeCells count="44">
    <mergeCell ref="B50:D50"/>
    <mergeCell ref="I50:K50"/>
    <mergeCell ref="P50:R50"/>
    <mergeCell ref="W50:Y50"/>
    <mergeCell ref="B51:D51"/>
    <mergeCell ref="I51:K51"/>
    <mergeCell ref="P51:R51"/>
    <mergeCell ref="B1:G1"/>
    <mergeCell ref="I1:N1"/>
    <mergeCell ref="P1:U1"/>
    <mergeCell ref="W1:Y1"/>
    <mergeCell ref="B25:G25"/>
    <mergeCell ref="I25:N25"/>
    <mergeCell ref="P25:U25"/>
    <mergeCell ref="W25:Y25"/>
    <mergeCell ref="B2:D2"/>
    <mergeCell ref="E2:G2"/>
    <mergeCell ref="I2:K2"/>
    <mergeCell ref="L2:N2"/>
    <mergeCell ref="P2:R2"/>
    <mergeCell ref="S2:U2"/>
    <mergeCell ref="S26:U26"/>
    <mergeCell ref="B26:D26"/>
    <mergeCell ref="P42:R42"/>
    <mergeCell ref="W42:Y42"/>
    <mergeCell ref="B43:D43"/>
    <mergeCell ref="I43:K43"/>
    <mergeCell ref="P43:R43"/>
    <mergeCell ref="E26:G26"/>
    <mergeCell ref="I26:K26"/>
    <mergeCell ref="L26:N26"/>
    <mergeCell ref="P26:R26"/>
    <mergeCell ref="B42:D42"/>
    <mergeCell ref="I42:K42"/>
    <mergeCell ref="B30:G30"/>
    <mergeCell ref="I30:N30"/>
    <mergeCell ref="P30:U30"/>
    <mergeCell ref="W30:Y30"/>
    <mergeCell ref="B31:D31"/>
    <mergeCell ref="E31:G31"/>
    <mergeCell ref="I31:K31"/>
    <mergeCell ref="L31:N31"/>
    <mergeCell ref="P31:R31"/>
    <mergeCell ref="S31:U31"/>
  </mergeCells>
  <conditionalFormatting sqref="AD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D727-07D2-43E5-8EB5-375D326340AB}">
  <dimension ref="A1:AF59"/>
  <sheetViews>
    <sheetView showGridLines="0" topLeftCell="A31" zoomScale="80" zoomScaleNormal="80" workbookViewId="0">
      <pane xSplit="1" topLeftCell="B1" activePane="topRight" state="frozen"/>
      <selection sqref="A1:Y56"/>
      <selection pane="topRight" sqref="A1:Y56"/>
    </sheetView>
  </sheetViews>
  <sheetFormatPr defaultRowHeight="15" outlineLevelCol="2" x14ac:dyDescent="0.25"/>
  <cols>
    <col min="1" max="1" width="19.42578125" bestFit="1" customWidth="1"/>
    <col min="2" max="2" width="17" style="1" customWidth="1" outlineLevel="2"/>
    <col min="3" max="3" width="16.7109375" style="1" customWidth="1" outlineLevel="2"/>
    <col min="4" max="4" width="6" style="1" bestFit="1" customWidth="1" outlineLevel="2"/>
    <col min="5" max="5" width="5.42578125" style="1" customWidth="1" outlineLevel="2"/>
    <col min="6" max="6" width="9.7109375" style="1" customWidth="1" outlineLevel="2"/>
    <col min="7" max="7" width="5.5703125" style="1" customWidth="1" outlineLevel="2"/>
    <col min="8" max="8" width="1.42578125" style="1" customWidth="1" outlineLevel="2"/>
    <col min="9" max="10" width="15.85546875" style="1" customWidth="1" outlineLevel="2"/>
    <col min="11" max="11" width="6.28515625" style="1" customWidth="1" outlineLevel="2"/>
    <col min="12" max="12" width="5.42578125" style="1" customWidth="1" outlineLevel="2"/>
    <col min="13" max="13" width="9.7109375" style="1" customWidth="1" outlineLevel="2"/>
    <col min="14" max="14" width="5.5703125" style="1" customWidth="1" outlineLevel="2"/>
    <col min="15" max="15" width="1.42578125" style="1" customWidth="1" outlineLevel="2"/>
    <col min="16" max="17" width="15.85546875" customWidth="1" outlineLevel="2"/>
    <col min="18" max="18" width="5.5703125" customWidth="1" outlineLevel="2"/>
    <col min="19" max="19" width="5.42578125" style="1" customWidth="1" outlineLevel="2"/>
    <col min="20" max="20" width="9.7109375" style="1" customWidth="1" outlineLevel="2"/>
    <col min="21" max="21" width="5.5703125" customWidth="1" outlineLevel="2"/>
    <col min="22" max="22" width="1.42578125" customWidth="1" outlineLevel="2"/>
    <col min="23" max="23" width="15" style="1" customWidth="1" outlineLevel="1"/>
    <col min="24" max="24" width="12.85546875" style="1" customWidth="1" outlineLevel="1"/>
    <col min="25" max="25" width="15" style="1" customWidth="1" outlineLevel="1"/>
    <col min="26" max="26" width="1.42578125" customWidth="1" outlineLevel="1"/>
    <col min="27" max="27" width="10" customWidth="1" outlineLevel="2"/>
    <col min="28" max="28" width="10.28515625" customWidth="1" outlineLevel="2"/>
    <col min="29" max="29" width="9.140625" customWidth="1" outlineLevel="2"/>
    <col min="30" max="30" width="1.42578125" customWidth="1"/>
    <col min="31" max="31" width="12.7109375" customWidth="1"/>
    <col min="32" max="32" width="12.42578125" bestFit="1" customWidth="1"/>
  </cols>
  <sheetData>
    <row r="1" spans="1:32" s="3" customFormat="1" x14ac:dyDescent="0.25">
      <c r="A1" s="2"/>
      <c r="B1" s="152" t="s">
        <v>16</v>
      </c>
      <c r="C1" s="153"/>
      <c r="D1" s="153"/>
      <c r="E1" s="153"/>
      <c r="F1" s="153"/>
      <c r="G1" s="154"/>
      <c r="H1" s="4"/>
      <c r="I1" s="155" t="s">
        <v>17</v>
      </c>
      <c r="J1" s="156"/>
      <c r="K1" s="156"/>
      <c r="L1" s="156"/>
      <c r="M1" s="156"/>
      <c r="N1" s="157"/>
      <c r="O1" s="4"/>
      <c r="P1" s="158" t="s">
        <v>18</v>
      </c>
      <c r="Q1" s="159"/>
      <c r="R1" s="159"/>
      <c r="S1" s="159"/>
      <c r="T1" s="159"/>
      <c r="U1" s="160"/>
      <c r="W1" s="134" t="s">
        <v>20</v>
      </c>
      <c r="X1" s="135"/>
      <c r="Y1" s="136"/>
      <c r="AA1" s="134" t="s">
        <v>20</v>
      </c>
      <c r="AB1" s="135"/>
      <c r="AC1" s="136"/>
    </row>
    <row r="2" spans="1:32" s="3" customFormat="1" x14ac:dyDescent="0.25">
      <c r="A2" s="21"/>
      <c r="B2" s="137" t="s">
        <v>14</v>
      </c>
      <c r="C2" s="138"/>
      <c r="D2" s="138"/>
      <c r="E2" s="138" t="s">
        <v>15</v>
      </c>
      <c r="F2" s="138"/>
      <c r="G2" s="139"/>
      <c r="H2" s="4"/>
      <c r="I2" s="137" t="s">
        <v>14</v>
      </c>
      <c r="J2" s="138"/>
      <c r="K2" s="138"/>
      <c r="L2" s="138" t="s">
        <v>15</v>
      </c>
      <c r="M2" s="138"/>
      <c r="N2" s="139"/>
      <c r="O2" s="4"/>
      <c r="P2" s="137" t="s">
        <v>14</v>
      </c>
      <c r="Q2" s="138"/>
      <c r="R2" s="138"/>
      <c r="S2" s="138" t="s">
        <v>15</v>
      </c>
      <c r="T2" s="138"/>
      <c r="U2" s="139"/>
      <c r="W2" s="5"/>
      <c r="X2" s="6"/>
      <c r="Y2" s="7"/>
      <c r="AA2" s="5"/>
      <c r="AB2" s="6"/>
      <c r="AC2" s="7"/>
    </row>
    <row r="3" spans="1:32" s="3" customFormat="1" x14ac:dyDescent="0.25">
      <c r="A3" s="20" t="s">
        <v>0</v>
      </c>
      <c r="B3" s="8" t="s">
        <v>11</v>
      </c>
      <c r="C3" s="9" t="s">
        <v>12</v>
      </c>
      <c r="D3" s="9" t="s">
        <v>13</v>
      </c>
      <c r="E3" s="9" t="s">
        <v>11</v>
      </c>
      <c r="F3" s="9" t="s">
        <v>12</v>
      </c>
      <c r="G3" s="10" t="s">
        <v>13</v>
      </c>
      <c r="H3" s="4"/>
      <c r="I3" s="8" t="s">
        <v>11</v>
      </c>
      <c r="J3" s="9" t="s">
        <v>12</v>
      </c>
      <c r="K3" s="9" t="s">
        <v>13</v>
      </c>
      <c r="L3" s="9" t="s">
        <v>11</v>
      </c>
      <c r="M3" s="9" t="s">
        <v>12</v>
      </c>
      <c r="N3" s="10" t="s">
        <v>13</v>
      </c>
      <c r="O3" s="4"/>
      <c r="P3" s="8" t="s">
        <v>11</v>
      </c>
      <c r="Q3" s="9" t="s">
        <v>12</v>
      </c>
      <c r="R3" s="9" t="s">
        <v>13</v>
      </c>
      <c r="S3" s="9" t="s">
        <v>11</v>
      </c>
      <c r="T3" s="9" t="s">
        <v>12</v>
      </c>
      <c r="U3" s="10" t="s">
        <v>13</v>
      </c>
      <c r="W3" s="8" t="s">
        <v>1</v>
      </c>
      <c r="X3" s="9" t="s">
        <v>19</v>
      </c>
      <c r="Y3" s="10" t="s">
        <v>20</v>
      </c>
      <c r="AA3" s="8" t="s">
        <v>21</v>
      </c>
      <c r="AB3" s="9" t="s">
        <v>22</v>
      </c>
      <c r="AC3" s="10" t="s">
        <v>13</v>
      </c>
      <c r="AD3" s="4"/>
    </row>
    <row r="4" spans="1:32" x14ac:dyDescent="0.25">
      <c r="A4" t="s">
        <v>51</v>
      </c>
      <c r="B4" s="15">
        <v>394321.3</v>
      </c>
      <c r="C4" s="16">
        <v>279502.88302400021</v>
      </c>
      <c r="D4" s="11">
        <f>IFERROR(C4/B4,0)</f>
        <v>0.70882015002486609</v>
      </c>
      <c r="E4" s="49">
        <v>73</v>
      </c>
      <c r="F4" s="49">
        <v>41</v>
      </c>
      <c r="G4" s="12">
        <f t="shared" ref="G4" si="0">IFERROR(F4/E4,0)</f>
        <v>0.56164383561643838</v>
      </c>
      <c r="H4" s="22"/>
      <c r="I4" s="15">
        <v>38973.620000000003</v>
      </c>
      <c r="J4" s="16">
        <v>30929.378072999993</v>
      </c>
      <c r="K4" s="11">
        <f t="shared" ref="K4:K22" si="1">IFERROR(J4/I4,0)</f>
        <v>0.79359777390450237</v>
      </c>
      <c r="L4" s="49">
        <v>44</v>
      </c>
      <c r="M4" s="49">
        <v>36</v>
      </c>
      <c r="N4" s="12">
        <f t="shared" ref="N4:N22" si="2">IFERROR(M4/L4,0)</f>
        <v>0.81818181818181823</v>
      </c>
      <c r="O4" s="22"/>
      <c r="P4" s="15">
        <v>25218.22</v>
      </c>
      <c r="Q4" s="16">
        <v>22598.079999999994</v>
      </c>
      <c r="R4" s="11">
        <f t="shared" ref="R4:R22" si="3">IFERROR(Q4/P4,0)</f>
        <v>0.89610131087761125</v>
      </c>
      <c r="S4" s="1">
        <v>18</v>
      </c>
      <c r="T4" s="1">
        <v>18</v>
      </c>
      <c r="U4" s="12">
        <f t="shared" ref="U4:U22" si="4">IFERROR(T4/S4,0)</f>
        <v>1</v>
      </c>
      <c r="W4" s="27"/>
      <c r="X4" s="24" cm="1">
        <f t="array" ref="X4">(_xlfn.IFS(D4&lt;70%,0,AND(D4&gt;=70%,D4&lt;=120%),D4*30%,D4&gt;120%,120%*30%))+(_xlfn.IFS(G4&lt;70%,0,AND(G4&gt;=70%,G4&lt;=120%),G4*30%,G4&gt;120%,120%*30%))+(_xlfn.IFS(K4&lt;70%,0,AND(K4&gt;=70%,K4&lt;=120%),K4*7.5%,K4&gt;120%,120%*7.5%))+(_xlfn.IFS(N4&lt;70%,0,AND(N4&gt;=70%,N4&lt;=120%),N4*7.5%,N4&gt;120%,120%*7.5%))+(_xlfn.IFS(R4&lt;70%,0,AND(R4&gt;=70%,R4&lt;=120%),R4*12.5%,R4&gt;120%,120%*12.5%))+(_xlfn.IFS(U4&lt;70%,0,AND(U4&gt;=70%,U4&lt;=120%),U4*12.5%,U4&gt;120%,120%*12.5%))</f>
        <v>0.57054217827363518</v>
      </c>
      <c r="Y4" s="29">
        <f t="shared" ref="Y4:Y23" si="5">X4*(W4/2)</f>
        <v>0</v>
      </c>
      <c r="AA4" s="35">
        <f>'Apuração Inicial'!X4</f>
        <v>0.57054217827363518</v>
      </c>
      <c r="AB4" s="36">
        <f>X4</f>
        <v>0.57054217827363518</v>
      </c>
      <c r="AC4" s="37">
        <f>AB4/AA4-1</f>
        <v>0</v>
      </c>
    </row>
    <row r="5" spans="1:32" x14ac:dyDescent="0.25">
      <c r="A5" t="s">
        <v>4</v>
      </c>
      <c r="B5" s="15">
        <v>542000</v>
      </c>
      <c r="C5" s="16">
        <v>1207431.1595999997</v>
      </c>
      <c r="D5" s="11">
        <f>IFERROR(C5/B5,0)</f>
        <v>2.2277327667896674</v>
      </c>
      <c r="E5" s="49">
        <v>0</v>
      </c>
      <c r="F5" s="49">
        <v>48</v>
      </c>
      <c r="G5" s="12">
        <f>IFERROR(F5/E5,0)</f>
        <v>0</v>
      </c>
      <c r="H5" s="22"/>
      <c r="I5" s="15">
        <v>3000</v>
      </c>
      <c r="J5" s="16">
        <v>103388.62</v>
      </c>
      <c r="K5" s="11">
        <f t="shared" si="1"/>
        <v>34.462873333333334</v>
      </c>
      <c r="L5" s="49">
        <v>0</v>
      </c>
      <c r="M5" s="49">
        <v>10</v>
      </c>
      <c r="N5" s="12">
        <f t="shared" si="2"/>
        <v>0</v>
      </c>
      <c r="O5" s="22"/>
      <c r="P5" s="15">
        <v>9000</v>
      </c>
      <c r="Q5" s="16">
        <v>23507.879999999997</v>
      </c>
      <c r="R5" s="11">
        <f t="shared" si="3"/>
        <v>2.6119866666666662</v>
      </c>
      <c r="S5" s="1">
        <v>0</v>
      </c>
      <c r="T5" s="1">
        <v>18</v>
      </c>
      <c r="U5" s="12">
        <f t="shared" si="4"/>
        <v>0</v>
      </c>
      <c r="W5" s="27"/>
      <c r="X5" s="24" cm="1">
        <f t="array" ref="X5">(_xlfn.IFS(D5&lt;70%,0,AND(D5&gt;=70%,D5&lt;=120%),D5*60%,D5&gt;120%,120%*60%))+(_xlfn.IFS(K5&lt;70%,0,AND(K5&gt;=70%,K5&lt;=120%),K5*15%,K5&gt;120%,120%*15%))+(_xlfn.IFS(R5&lt;70%,0,AND(R5&gt;=70%,R5&lt;=120%),R5*25%,R5&gt;120%,120%*25%))</f>
        <v>1.2</v>
      </c>
      <c r="Y5" s="29">
        <f t="shared" si="5"/>
        <v>0</v>
      </c>
      <c r="AA5" s="35">
        <f>'Apuração Inicial'!X5</f>
        <v>1.2</v>
      </c>
      <c r="AB5" s="36">
        <f t="shared" ref="AB5:AB23" si="6">X5</f>
        <v>1.2</v>
      </c>
      <c r="AC5" s="37">
        <f t="shared" ref="AC5:AC23" si="7">AB5/AA5-1</f>
        <v>0</v>
      </c>
    </row>
    <row r="6" spans="1:32" x14ac:dyDescent="0.25">
      <c r="A6" t="s">
        <v>10</v>
      </c>
      <c r="B6" s="15">
        <v>432026.6</v>
      </c>
      <c r="C6" s="16">
        <v>314364.63836300006</v>
      </c>
      <c r="D6" s="11">
        <f>IFERROR(C6/B6,0)</f>
        <v>0.72765111769275337</v>
      </c>
      <c r="E6" s="49">
        <v>101</v>
      </c>
      <c r="F6" s="49">
        <v>66</v>
      </c>
      <c r="G6" s="12">
        <f t="shared" ref="G6:G22" si="8">IFERROR(F6/E6,0)</f>
        <v>0.65346534653465349</v>
      </c>
      <c r="H6" s="22"/>
      <c r="I6" s="15">
        <v>42700.3</v>
      </c>
      <c r="J6" s="16">
        <v>32749.269168999996</v>
      </c>
      <c r="K6" s="11">
        <f t="shared" si="1"/>
        <v>0.76695641878394283</v>
      </c>
      <c r="L6" s="49">
        <v>61</v>
      </c>
      <c r="M6" s="49">
        <v>57</v>
      </c>
      <c r="N6" s="12">
        <f t="shared" si="2"/>
        <v>0.93442622950819676</v>
      </c>
      <c r="O6" s="22"/>
      <c r="P6" s="15">
        <v>27629.61</v>
      </c>
      <c r="Q6" s="16">
        <v>29853.140940000001</v>
      </c>
      <c r="R6" s="11">
        <f t="shared" si="3"/>
        <v>1.0804763780596252</v>
      </c>
      <c r="S6" s="1">
        <v>24</v>
      </c>
      <c r="T6" s="1">
        <v>50</v>
      </c>
      <c r="U6" s="12">
        <f t="shared" si="4"/>
        <v>2.0833333333333335</v>
      </c>
      <c r="W6" s="27"/>
      <c r="X6" s="24" cm="1">
        <f t="array" ref="X6">(_xlfn.IFS(D6&lt;70%,0,AND(D6&gt;=70%,D6&lt;=120%),D6*30%,D6&gt;120%,120%*30%))+(_xlfn.IFS(G6&lt;70%,0,AND(G6&gt;=70%,G6&lt;=120%),G6*30%,G6&gt;120%,120%*30%))+(_xlfn.IFS(K6&lt;70%,0,AND(K6&gt;=70%,K6&lt;=120%),K6*7.5%,K6&gt;120%,120%*7.5%))+(_xlfn.IFS(N6&lt;70%,0,AND(N6&gt;=70%,N6&lt;=120%),N6*7.5%,N6&gt;120%,120%*7.5%))+(_xlfn.IFS(R6&lt;70%,0,AND(R6&gt;=70%,R6&lt;=120%),R6*12.5%,R6&gt;120%,120%*12.5%))+(_xlfn.IFS(U6&lt;70%,0,AND(U6&gt;=70%,U6&lt;=120%),U6*12.5%,U6&gt;120%,120%*12.5%))</f>
        <v>0.63095858118718962</v>
      </c>
      <c r="Y6" s="29">
        <f t="shared" si="5"/>
        <v>0</v>
      </c>
      <c r="AA6" s="35">
        <f>'Apuração Inicial'!X6</f>
        <v>0.63095858118718962</v>
      </c>
      <c r="AB6" s="36">
        <f t="shared" si="6"/>
        <v>0.63095858118718962</v>
      </c>
      <c r="AC6" s="37">
        <f t="shared" si="7"/>
        <v>0</v>
      </c>
    </row>
    <row r="7" spans="1:32" x14ac:dyDescent="0.25">
      <c r="A7" t="s">
        <v>33</v>
      </c>
      <c r="B7" s="15">
        <v>513488.95000000007</v>
      </c>
      <c r="C7" s="16">
        <v>364641.67441799986</v>
      </c>
      <c r="D7" s="11">
        <f t="shared" ref="D7:D22" si="9">IFERROR(C7/B7,0)</f>
        <v>0.7101256500612132</v>
      </c>
      <c r="E7" s="49">
        <v>92</v>
      </c>
      <c r="F7" s="49">
        <v>38</v>
      </c>
      <c r="G7" s="12">
        <f t="shared" si="8"/>
        <v>0.41304347826086957</v>
      </c>
      <c r="H7" s="22"/>
      <c r="I7" s="15">
        <v>50751.820000000007</v>
      </c>
      <c r="J7" s="16">
        <v>41738.756899</v>
      </c>
      <c r="K7" s="11">
        <f t="shared" si="1"/>
        <v>0.82240906629555344</v>
      </c>
      <c r="L7" s="49">
        <v>55</v>
      </c>
      <c r="M7" s="49">
        <v>30</v>
      </c>
      <c r="N7" s="12">
        <f t="shared" si="2"/>
        <v>0.54545454545454541</v>
      </c>
      <c r="O7" s="22"/>
      <c r="P7" s="15">
        <v>32839.409999999996</v>
      </c>
      <c r="Q7" s="16">
        <v>12668.6224</v>
      </c>
      <c r="R7" s="11">
        <f t="shared" si="3"/>
        <v>0.38577496976955439</v>
      </c>
      <c r="S7" s="1">
        <v>22</v>
      </c>
      <c r="T7" s="1">
        <v>23</v>
      </c>
      <c r="U7" s="12">
        <f t="shared" si="4"/>
        <v>1.0454545454545454</v>
      </c>
      <c r="W7" s="27"/>
      <c r="X7" s="24" cm="1">
        <f t="array" ref="X7">(_xlfn.IFS(D7&lt;70%,0,AND(D7&gt;=70%,D7&lt;=120%),D7*30%,D7&gt;120%,120%*30%))+(_xlfn.IFS(G7&lt;70%,0,AND(G7&gt;=70%,G7&lt;=120%),G7*30%,G7&gt;120%,120%*30%))+(_xlfn.IFS(K7&lt;70%,0,AND(K7&gt;=70%,K7&lt;=120%),K7*7.5%,K7&gt;120%,120%*7.5%))+(_xlfn.IFS(N7&lt;70%,0,AND(N7&gt;=70%,N7&lt;=120%),N7*7.5%,N7&gt;120%,120%*7.5%))+(_xlfn.IFS(R7&lt;70%,0,AND(R7&gt;=70%,R7&lt;=120%),R7*12.5%,R7&gt;120%,120%*12.5%))+(_xlfn.IFS(U7&lt;70%,0,AND(U7&gt;=70%,U7&lt;=120%),U7*12.5%,U7&gt;120%,120%*12.5%))</f>
        <v>0.4054001931723486</v>
      </c>
      <c r="Y7" s="29">
        <f t="shared" si="5"/>
        <v>0</v>
      </c>
      <c r="AA7" s="35">
        <f>'Apuração Inicial'!X7</f>
        <v>0.4054001931723486</v>
      </c>
      <c r="AB7" s="36">
        <f t="shared" si="6"/>
        <v>0.4054001931723486</v>
      </c>
      <c r="AC7" s="37">
        <f t="shared" si="7"/>
        <v>0</v>
      </c>
    </row>
    <row r="8" spans="1:32" x14ac:dyDescent="0.25">
      <c r="A8" t="s">
        <v>54</v>
      </c>
      <c r="B8" s="15">
        <v>1810000</v>
      </c>
      <c r="C8" s="16">
        <v>577780</v>
      </c>
      <c r="D8" s="11">
        <f t="shared" si="9"/>
        <v>0.31921546961325969</v>
      </c>
      <c r="E8" s="49">
        <v>0</v>
      </c>
      <c r="F8" s="49">
        <v>2</v>
      </c>
      <c r="G8" s="12">
        <f t="shared" si="8"/>
        <v>0</v>
      </c>
      <c r="H8" s="22"/>
      <c r="I8" s="15">
        <v>2000</v>
      </c>
      <c r="J8" s="16">
        <v>899.28</v>
      </c>
      <c r="K8" s="11">
        <f t="shared" si="1"/>
        <v>0.44963999999999998</v>
      </c>
      <c r="L8" s="49">
        <v>0</v>
      </c>
      <c r="M8" s="49">
        <v>1</v>
      </c>
      <c r="N8" s="12">
        <f t="shared" si="2"/>
        <v>0</v>
      </c>
      <c r="O8" s="22"/>
      <c r="P8" s="15">
        <v>0</v>
      </c>
      <c r="Q8" s="16">
        <v>-6272.2500000000009</v>
      </c>
      <c r="R8" s="11">
        <f t="shared" si="3"/>
        <v>0</v>
      </c>
      <c r="S8" s="1">
        <v>0</v>
      </c>
      <c r="U8" s="12">
        <f t="shared" si="4"/>
        <v>0</v>
      </c>
      <c r="W8" s="27"/>
      <c r="X8" s="24"/>
      <c r="Y8" s="29"/>
      <c r="AA8" s="35">
        <f>'Apuração Inicial'!X8</f>
        <v>0</v>
      </c>
      <c r="AB8" s="36">
        <f t="shared" si="6"/>
        <v>0</v>
      </c>
      <c r="AC8" s="37" t="e">
        <f t="shared" si="7"/>
        <v>#DIV/0!</v>
      </c>
    </row>
    <row r="9" spans="1:32" x14ac:dyDescent="0.25">
      <c r="A9" t="s">
        <v>34</v>
      </c>
      <c r="B9" s="15">
        <v>312239.94</v>
      </c>
      <c r="C9" s="16">
        <v>187927.54395300025</v>
      </c>
      <c r="D9" s="11">
        <f t="shared" si="9"/>
        <v>0.60186901122579084</v>
      </c>
      <c r="E9" s="49">
        <v>99</v>
      </c>
      <c r="F9" s="49">
        <v>39</v>
      </c>
      <c r="G9" s="12">
        <f t="shared" si="8"/>
        <v>0.39393939393939392</v>
      </c>
      <c r="H9" s="22"/>
      <c r="I9" s="15">
        <v>30860.92</v>
      </c>
      <c r="J9" s="16">
        <v>19315.495772000013</v>
      </c>
      <c r="K9" s="11">
        <f t="shared" si="1"/>
        <v>0.62588852736729861</v>
      </c>
      <c r="L9" s="49">
        <v>59</v>
      </c>
      <c r="M9" s="49">
        <v>27</v>
      </c>
      <c r="N9" s="12">
        <f t="shared" si="2"/>
        <v>0.4576271186440678</v>
      </c>
      <c r="O9" s="22"/>
      <c r="P9" s="15">
        <v>19968.830000000002</v>
      </c>
      <c r="Q9" s="16">
        <v>16016.247179999993</v>
      </c>
      <c r="R9" s="11">
        <f t="shared" si="3"/>
        <v>0.80206237320864526</v>
      </c>
      <c r="S9" s="1">
        <v>24</v>
      </c>
      <c r="T9" s="1">
        <v>25</v>
      </c>
      <c r="U9" s="12">
        <f t="shared" si="4"/>
        <v>1.0416666666666667</v>
      </c>
      <c r="W9" s="27"/>
      <c r="X9" s="24" cm="1">
        <f t="array" ref="X9">(_xlfn.IFS(D9&lt;70%,0,AND(D9&gt;=70%,D9&lt;=120%),D9*30%,D9&gt;120%,120%*30%))+(_xlfn.IFS(G9&lt;70%,0,AND(G9&gt;=70%,G9&lt;=120%),G9*30%,G9&gt;120%,120%*30%))+(_xlfn.IFS(K9&lt;70%,0,AND(K9&gt;=70%,K9&lt;=120%),K9*7.5%,K9&gt;120%,120%*7.5%))+(_xlfn.IFS(N9&lt;70%,0,AND(N9&gt;=70%,N9&lt;=120%),N9*7.5%,N9&gt;120%,120%*7.5%))+(_xlfn.IFS(R9&lt;70%,0,AND(R9&gt;=70%,R9&lt;=120%),R9*12.5%,R9&gt;120%,120%*12.5%))+(_xlfn.IFS(U9&lt;70%,0,AND(U9&gt;=70%,U9&lt;=120%),U9*12.5%,U9&gt;120%,120%*12.5%))</f>
        <v>0.23046612998441401</v>
      </c>
      <c r="Y9" s="29">
        <f t="shared" si="5"/>
        <v>0</v>
      </c>
      <c r="AA9" s="35">
        <f>'Apuração Inicial'!X9</f>
        <v>0.23046612998441401</v>
      </c>
      <c r="AB9" s="36">
        <f t="shared" si="6"/>
        <v>0.23046612998441401</v>
      </c>
      <c r="AC9" s="37">
        <f t="shared" si="7"/>
        <v>0</v>
      </c>
    </row>
    <row r="10" spans="1:32" x14ac:dyDescent="0.25">
      <c r="A10" t="s">
        <v>24</v>
      </c>
      <c r="B10" s="15">
        <v>524723.96</v>
      </c>
      <c r="C10" s="16">
        <v>334338.4584</v>
      </c>
      <c r="D10" s="11">
        <f t="shared" si="9"/>
        <v>0.6371701768678526</v>
      </c>
      <c r="E10" s="49">
        <v>117</v>
      </c>
      <c r="F10" s="49">
        <v>31</v>
      </c>
      <c r="G10" s="12">
        <f t="shared" si="8"/>
        <v>0.26495726495726496</v>
      </c>
      <c r="H10" s="22"/>
      <c r="I10" s="15">
        <v>51862.259999999995</v>
      </c>
      <c r="J10" s="16">
        <v>22991.558500000003</v>
      </c>
      <c r="K10" s="11">
        <f t="shared" si="1"/>
        <v>0.44331964129600226</v>
      </c>
      <c r="L10" s="49">
        <v>70</v>
      </c>
      <c r="M10" s="49">
        <v>23</v>
      </c>
      <c r="N10" s="12">
        <f t="shared" si="2"/>
        <v>0.32857142857142857</v>
      </c>
      <c r="O10" s="22"/>
      <c r="P10" s="15">
        <v>33557.93</v>
      </c>
      <c r="Q10" s="16">
        <v>40314.669000000002</v>
      </c>
      <c r="R10" s="11">
        <f t="shared" si="3"/>
        <v>1.2013455239938817</v>
      </c>
      <c r="S10" s="1">
        <v>28</v>
      </c>
      <c r="T10" s="1">
        <v>22</v>
      </c>
      <c r="U10" s="12">
        <f t="shared" si="4"/>
        <v>0.7857142857142857</v>
      </c>
      <c r="W10" s="27"/>
      <c r="X10" s="24">
        <f>X23</f>
        <v>0.56177696504939578</v>
      </c>
      <c r="Y10" s="29">
        <f t="shared" si="5"/>
        <v>0</v>
      </c>
      <c r="AA10" s="35">
        <f>'Apuração Inicial'!X10</f>
        <v>0.24821428571428572</v>
      </c>
      <c r="AB10" s="36">
        <f t="shared" si="6"/>
        <v>0.56177696504939578</v>
      </c>
      <c r="AC10" s="37">
        <f t="shared" si="7"/>
        <v>1.2632741037961268</v>
      </c>
    </row>
    <row r="11" spans="1:32" x14ac:dyDescent="0.25">
      <c r="A11" t="s">
        <v>35</v>
      </c>
      <c r="B11" s="15">
        <v>392720.93</v>
      </c>
      <c r="C11" s="16">
        <v>1280961.1478399995</v>
      </c>
      <c r="D11" s="11">
        <f t="shared" si="9"/>
        <v>3.2617593053672986</v>
      </c>
      <c r="E11" s="49">
        <v>0</v>
      </c>
      <c r="F11" s="49">
        <v>12</v>
      </c>
      <c r="G11" s="12">
        <f t="shared" si="8"/>
        <v>0</v>
      </c>
      <c r="H11" s="22"/>
      <c r="I11" s="15">
        <v>20206.259999999998</v>
      </c>
      <c r="J11" s="16">
        <v>22222.26</v>
      </c>
      <c r="K11" s="11">
        <f t="shared" si="1"/>
        <v>1.0997710610474181</v>
      </c>
      <c r="L11" s="49">
        <v>0</v>
      </c>
      <c r="M11" s="49">
        <v>2</v>
      </c>
      <c r="N11" s="12">
        <f t="shared" si="2"/>
        <v>0</v>
      </c>
      <c r="O11" s="22"/>
      <c r="P11" s="15">
        <v>5729.62</v>
      </c>
      <c r="Q11" s="16">
        <v>36024.036888000002</v>
      </c>
      <c r="R11" s="11">
        <f t="shared" si="3"/>
        <v>6.2873343935548958</v>
      </c>
      <c r="S11" s="1">
        <v>0</v>
      </c>
      <c r="T11" s="1">
        <v>6</v>
      </c>
      <c r="U11" s="12">
        <f t="shared" si="4"/>
        <v>0</v>
      </c>
      <c r="W11" s="27"/>
      <c r="X11" s="24" cm="1">
        <f t="array" ref="X11">(_xlfn.IFS(D11&lt;70%,0,AND(D11&gt;=70%,D11&lt;=120%),D11*60%,D11&gt;120%,120%*60%))+(_xlfn.IFS(K11&lt;70%,0,AND(K11&gt;=70%,K11&lt;=120%),K11*15%,K11&gt;120%,120%*15%))+(_xlfn.IFS(R11&lt;70%,0,AND(R11&gt;=70%,R11&lt;=120%),R11*25%,R11&gt;120%,120%*25%))</f>
        <v>1.1849656591571127</v>
      </c>
      <c r="Y11" s="29">
        <f t="shared" si="5"/>
        <v>0</v>
      </c>
      <c r="AA11" s="35">
        <f>'Apuração Inicial'!X11</f>
        <v>1.1849656591571127</v>
      </c>
      <c r="AB11" s="36">
        <f t="shared" si="6"/>
        <v>1.1849656591571127</v>
      </c>
      <c r="AC11" s="37">
        <f t="shared" si="7"/>
        <v>0</v>
      </c>
      <c r="AF11" s="38"/>
    </row>
    <row r="12" spans="1:32" x14ac:dyDescent="0.25">
      <c r="A12" t="s">
        <v>52</v>
      </c>
      <c r="B12" s="15">
        <v>129000</v>
      </c>
      <c r="C12" s="16">
        <v>132004.31921000005</v>
      </c>
      <c r="D12" s="11">
        <f t="shared" si="9"/>
        <v>1.0232892962015507</v>
      </c>
      <c r="E12" s="49">
        <v>40</v>
      </c>
      <c r="F12" s="49">
        <v>58</v>
      </c>
      <c r="G12" s="12">
        <f t="shared" si="8"/>
        <v>1.45</v>
      </c>
      <c r="H12" s="33"/>
      <c r="I12" s="15">
        <v>12750</v>
      </c>
      <c r="J12" s="16">
        <v>10196.758507999999</v>
      </c>
      <c r="K12" s="11">
        <f t="shared" si="1"/>
        <v>0.7997457653333333</v>
      </c>
      <c r="L12" s="49">
        <v>24</v>
      </c>
      <c r="M12" s="49">
        <v>8</v>
      </c>
      <c r="N12" s="12">
        <f t="shared" si="2"/>
        <v>0.33333333333333331</v>
      </c>
      <c r="O12" s="33"/>
      <c r="P12" s="15">
        <v>8250</v>
      </c>
      <c r="Q12" s="16">
        <v>11723.872198000001</v>
      </c>
      <c r="R12" s="11">
        <f t="shared" si="3"/>
        <v>1.4210754179393941</v>
      </c>
      <c r="S12" s="1">
        <v>10</v>
      </c>
      <c r="T12" s="1">
        <v>12</v>
      </c>
      <c r="U12" s="12">
        <f t="shared" si="4"/>
        <v>1.2</v>
      </c>
      <c r="W12" s="34"/>
      <c r="X12" s="24" cm="1">
        <f t="array" ref="X12">(_xlfn.IFS(D12&lt;70%,0,AND(D12&gt;=70%,D12&lt;=120%),D12*30%,D12&gt;120%,120%*30%))+(_xlfn.IFS(G12&lt;70%,0,AND(G12&gt;=70%,G12&lt;=120%),G12*30%,G12&gt;120%,120%*30%))+(_xlfn.IFS(K12&lt;70%,0,AND(K12&gt;=70%,K12&lt;=120%),K12*7.5%,K12&gt;120%,120%*7.5%))+(_xlfn.IFS(N12&lt;70%,0,AND(N12&gt;=70%,N12&lt;=120%),N12*7.5%,N12&gt;120%,120%*7.5%))+(_xlfn.IFS(R12&lt;70%,0,AND(R12&gt;=70%,R12&lt;=120%),R12*12.5%,R12&gt;120%,120%*12.5%))+(_xlfn.IFS(U12&lt;70%,0,AND(U12&gt;=70%,U12&lt;=120%),U12*12.5%,U12&gt;120%,120%*12.5%))</f>
        <v>1.0269677212604653</v>
      </c>
      <c r="Y12" s="29">
        <f t="shared" si="5"/>
        <v>0</v>
      </c>
      <c r="AA12" s="35">
        <f>'Apuração Inicial'!X12</f>
        <v>1.0269677212604653</v>
      </c>
      <c r="AB12" s="36">
        <f t="shared" si="6"/>
        <v>1.0269677212604653</v>
      </c>
      <c r="AC12" s="37">
        <f t="shared" si="7"/>
        <v>0</v>
      </c>
    </row>
    <row r="13" spans="1:32" x14ac:dyDescent="0.25">
      <c r="A13" t="s">
        <v>53</v>
      </c>
      <c r="B13" s="15">
        <v>489955.27</v>
      </c>
      <c r="C13" s="16">
        <v>459523.29190000001</v>
      </c>
      <c r="D13" s="11">
        <v>0.93788825232964634</v>
      </c>
      <c r="E13" s="49">
        <v>73</v>
      </c>
      <c r="F13" s="49">
        <v>38</v>
      </c>
      <c r="G13" s="12">
        <v>0.52054794520547942</v>
      </c>
      <c r="H13" s="22"/>
      <c r="I13" s="15">
        <v>42672.82</v>
      </c>
      <c r="J13" s="16">
        <v>34320.864000000001</v>
      </c>
      <c r="K13" s="11">
        <v>0.80427925785078191</v>
      </c>
      <c r="L13" s="49">
        <v>44</v>
      </c>
      <c r="M13" s="49">
        <v>18</v>
      </c>
      <c r="N13" s="12">
        <v>0.40909090909090912</v>
      </c>
      <c r="O13" s="22"/>
      <c r="P13" s="15">
        <v>29962.690000000002</v>
      </c>
      <c r="Q13" s="16">
        <v>34033.317500000005</v>
      </c>
      <c r="R13" s="11">
        <v>1.1358565435880423</v>
      </c>
      <c r="S13" s="1">
        <v>18</v>
      </c>
      <c r="T13" s="1">
        <v>19</v>
      </c>
      <c r="U13" s="12">
        <v>1.0555555555555556</v>
      </c>
      <c r="W13" s="27"/>
      <c r="X13" s="24" cm="1">
        <f t="array" ref="X13">(_xlfn.IFS(D13&lt;70%,0,AND(D13&gt;=70%,D13&lt;=120%),D13*30%,D13&gt;120%,120%*30%))+(_xlfn.IFS(G13&lt;70%,0,AND(G13&gt;=70%,G13&lt;=120%),G13*30%,G13&gt;120%,120%*30%))+(_xlfn.IFS(K13&lt;70%,0,AND(K13&gt;=70%,K13&lt;=120%),K13*7.5%,K13&gt;120%,120%*7.5%))+(_xlfn.IFS(N13&lt;70%,0,AND(N13&gt;=70%,N13&lt;=120%),N13*7.5%,N13&gt;120%,120%*7.5%))+(_xlfn.IFS(R13&lt;70%,0,AND(R13&gt;=70%,R13&lt;=120%),R13*12.5%,R13&gt;120%,120%*12.5%))+(_xlfn.IFS(U13&lt;70%,0,AND(U13&gt;=70%,U13&lt;=120%),U13*12.5%,U13&gt;120%,120%*12.5%))</f>
        <v>0.61561393243065221</v>
      </c>
      <c r="Y13" s="29">
        <f t="shared" si="5"/>
        <v>0</v>
      </c>
      <c r="AA13" s="35">
        <f>'Apuração Inicial'!X13</f>
        <v>0.6156139324306521</v>
      </c>
      <c r="AB13" s="36">
        <f t="shared" si="6"/>
        <v>0.61561393243065221</v>
      </c>
      <c r="AC13" s="37">
        <f t="shared" si="7"/>
        <v>0</v>
      </c>
    </row>
    <row r="14" spans="1:32" x14ac:dyDescent="0.25">
      <c r="A14" t="s">
        <v>2</v>
      </c>
      <c r="B14" s="15">
        <v>748061.37</v>
      </c>
      <c r="C14" s="16">
        <v>598758.94512200099</v>
      </c>
      <c r="D14" s="11">
        <f t="shared" si="9"/>
        <v>0.80041420281066111</v>
      </c>
      <c r="E14" s="49">
        <v>83</v>
      </c>
      <c r="F14" s="49">
        <v>34</v>
      </c>
      <c r="G14" s="12">
        <f t="shared" si="8"/>
        <v>0.40963855421686746</v>
      </c>
      <c r="H14" s="22"/>
      <c r="I14" s="15">
        <v>73936.3</v>
      </c>
      <c r="J14" s="16">
        <v>49316.133500000011</v>
      </c>
      <c r="K14" s="11">
        <f t="shared" si="1"/>
        <v>0.66700840453200938</v>
      </c>
      <c r="L14" s="49">
        <v>50</v>
      </c>
      <c r="M14" s="49">
        <v>21</v>
      </c>
      <c r="N14" s="12">
        <f t="shared" si="2"/>
        <v>0.42</v>
      </c>
      <c r="O14" s="22"/>
      <c r="P14" s="15">
        <v>47841.13</v>
      </c>
      <c r="Q14" s="16">
        <v>33001.672959999989</v>
      </c>
      <c r="R14" s="11">
        <f t="shared" si="3"/>
        <v>0.68981800722516362</v>
      </c>
      <c r="S14" s="1">
        <v>20</v>
      </c>
      <c r="T14" s="1">
        <v>19</v>
      </c>
      <c r="U14" s="12">
        <f t="shared" si="4"/>
        <v>0.95</v>
      </c>
      <c r="W14" s="27"/>
      <c r="X14" s="24" cm="1">
        <f t="array" ref="X14">(_xlfn.IFS(D14&lt;70%,0,AND(D14&gt;=70%,D14&lt;=120%),D14*30%,D14&gt;120%,120%*30%))+(_xlfn.IFS(G14&lt;70%,0,AND(G14&gt;=70%,G14&lt;=120%),G14*30%,G14&gt;120%,120%*30%))+(_xlfn.IFS(K14&lt;70%,0,AND(K14&gt;=70%,K14&lt;=120%),K14*7.5%,K14&gt;120%,120%*7.5%))+(_xlfn.IFS(N14&lt;70%,0,AND(N14&gt;=70%,N14&lt;=120%),N14*7.5%,N14&gt;120%,120%*7.5%))+(_xlfn.IFS(R14&lt;70%,0,AND(R14&gt;=70%,R14&lt;=120%),R14*12.5%,R14&gt;120%,120%*12.5%))+(_xlfn.IFS(U14&lt;70%,0,AND(U14&gt;=70%,U14&lt;=120%),U14*12.5%,U14&gt;120%,120%*12.5%))</f>
        <v>0.35887426084319829</v>
      </c>
      <c r="Y14" s="29">
        <f t="shared" si="5"/>
        <v>0</v>
      </c>
      <c r="AA14" s="35">
        <f>'Apuração Inicial'!X14</f>
        <v>0.35887426084319829</v>
      </c>
      <c r="AB14" s="36">
        <f t="shared" si="6"/>
        <v>0.35887426084319829</v>
      </c>
      <c r="AC14" s="37">
        <f t="shared" si="7"/>
        <v>0</v>
      </c>
    </row>
    <row r="15" spans="1:32" x14ac:dyDescent="0.25">
      <c r="A15" t="s">
        <v>9</v>
      </c>
      <c r="B15" s="15">
        <v>493750.44</v>
      </c>
      <c r="C15" s="16">
        <v>242222.26998599977</v>
      </c>
      <c r="D15" s="11">
        <f t="shared" si="9"/>
        <v>0.49057631216693148</v>
      </c>
      <c r="E15" s="49">
        <v>107</v>
      </c>
      <c r="F15" s="49">
        <v>43</v>
      </c>
      <c r="G15" s="12">
        <f t="shared" si="8"/>
        <v>0.40186915887850466</v>
      </c>
      <c r="H15" s="22"/>
      <c r="I15" s="15">
        <v>48800.92</v>
      </c>
      <c r="J15" s="16">
        <v>20739.011000000002</v>
      </c>
      <c r="K15" s="11">
        <f t="shared" si="1"/>
        <v>0.42497172184458826</v>
      </c>
      <c r="L15" s="49">
        <v>64</v>
      </c>
      <c r="M15" s="49">
        <v>34</v>
      </c>
      <c r="N15" s="12">
        <f t="shared" si="2"/>
        <v>0.53125</v>
      </c>
      <c r="O15" s="22"/>
      <c r="P15" s="15">
        <v>31577.06</v>
      </c>
      <c r="Q15" s="16">
        <v>9915.0358000000033</v>
      </c>
      <c r="R15" s="11">
        <f t="shared" si="3"/>
        <v>0.31399490009519576</v>
      </c>
      <c r="S15" s="1">
        <v>26</v>
      </c>
      <c r="T15" s="1">
        <v>30</v>
      </c>
      <c r="U15" s="12">
        <f t="shared" si="4"/>
        <v>1.1538461538461537</v>
      </c>
      <c r="W15" s="27"/>
      <c r="X15" s="24" cm="1">
        <f t="array" ref="X15">(_xlfn.IFS(D15&lt;70%,0,AND(D15&gt;=70%,D15&lt;=120%),D15*30%,D15&gt;120%,120%*30%))+(_xlfn.IFS(G15&lt;70%,0,AND(G15&gt;=70%,G15&lt;=120%),G15*30%,G15&gt;120%,120%*30%))+(_xlfn.IFS(K15&lt;70%,0,AND(K15&gt;=70%,K15&lt;=120%),K15*7.5%,K15&gt;120%,120%*7.5%))+(_xlfn.IFS(N15&lt;70%,0,AND(N15&gt;=70%,N15&lt;=120%),N15*7.5%,N15&gt;120%,120%*7.5%))+(_xlfn.IFS(R15&lt;70%,0,AND(R15&gt;=70%,R15&lt;=120%),R15*12.5%,R15&gt;120%,120%*12.5%))+(_xlfn.IFS(U15&lt;70%,0,AND(U15&gt;=70%,U15&lt;=120%),U15*12.5%,U15&gt;120%,120%*12.5%))</f>
        <v>0.14423076923076922</v>
      </c>
      <c r="Y15" s="29">
        <f t="shared" si="5"/>
        <v>0</v>
      </c>
      <c r="AA15" s="35">
        <f>'Apuração Inicial'!X15</f>
        <v>0.14423076923076922</v>
      </c>
      <c r="AB15" s="36">
        <f t="shared" si="6"/>
        <v>0.14423076923076922</v>
      </c>
      <c r="AC15" s="37">
        <f t="shared" si="7"/>
        <v>0</v>
      </c>
    </row>
    <row r="16" spans="1:32" x14ac:dyDescent="0.25">
      <c r="A16" t="s">
        <v>3</v>
      </c>
      <c r="B16" s="15">
        <v>239594</v>
      </c>
      <c r="C16" s="16">
        <v>93078.559229999984</v>
      </c>
      <c r="D16" s="11">
        <f t="shared" si="9"/>
        <v>0.38848451643196402</v>
      </c>
      <c r="E16" s="49">
        <v>65</v>
      </c>
      <c r="F16" s="49">
        <v>24</v>
      </c>
      <c r="G16" s="12">
        <f t="shared" si="8"/>
        <v>0.36923076923076925</v>
      </c>
      <c r="H16" s="22"/>
      <c r="I16" s="15">
        <v>23680.799999999999</v>
      </c>
      <c r="J16" s="16">
        <v>17267.638843999994</v>
      </c>
      <c r="K16" s="11">
        <f t="shared" si="1"/>
        <v>0.72918308688895617</v>
      </c>
      <c r="L16" s="49">
        <v>39</v>
      </c>
      <c r="M16" s="49">
        <v>20</v>
      </c>
      <c r="N16" s="12">
        <f t="shared" si="2"/>
        <v>0.51282051282051277</v>
      </c>
      <c r="O16" s="22"/>
      <c r="P16" s="15">
        <v>15322.87</v>
      </c>
      <c r="Q16" s="16">
        <v>10921.027799999993</v>
      </c>
      <c r="R16" s="11">
        <f t="shared" si="3"/>
        <v>0.71272730239178383</v>
      </c>
      <c r="S16" s="1">
        <v>16</v>
      </c>
      <c r="T16" s="1">
        <v>13</v>
      </c>
      <c r="U16" s="12">
        <f t="shared" si="4"/>
        <v>0.8125</v>
      </c>
      <c r="W16" s="27"/>
      <c r="X16" s="24" cm="1">
        <f t="array" ref="X16">(_xlfn.IFS(D16&lt;70%,0,AND(D16&gt;=70%,D16&lt;=120%),D16*30%,D16&gt;120%,120%*30%))+(_xlfn.IFS(G16&lt;70%,0,AND(G16&gt;=70%,G16&lt;=120%),G16*30%,G16&gt;120%,120%*30%))+(_xlfn.IFS(K16&lt;70%,0,AND(K16&gt;=70%,K16&lt;=120%),K16*7.5%,K16&gt;120%,120%*7.5%))+(_xlfn.IFS(N16&lt;70%,0,AND(N16&gt;=70%,N16&lt;=120%),N16*7.5%,N16&gt;120%,120%*7.5%))+(_xlfn.IFS(R16&lt;70%,0,AND(R16&gt;=70%,R16&lt;=120%),R16*12.5%,R16&gt;120%,120%*12.5%))+(_xlfn.IFS(U16&lt;70%,0,AND(U16&gt;=70%,U16&lt;=120%),U16*12.5%,U16&gt;120%,120%*12.5%))</f>
        <v>0.24534214431564469</v>
      </c>
      <c r="Y16" s="29">
        <f t="shared" si="5"/>
        <v>0</v>
      </c>
      <c r="AA16" s="35">
        <f>'Apuração Inicial'!X16</f>
        <v>0.24534214431564469</v>
      </c>
      <c r="AB16" s="36">
        <f t="shared" si="6"/>
        <v>0.24534214431564469</v>
      </c>
      <c r="AC16" s="37">
        <f t="shared" si="7"/>
        <v>0</v>
      </c>
    </row>
    <row r="17" spans="1:32" x14ac:dyDescent="0.25">
      <c r="A17" t="s">
        <v>42</v>
      </c>
      <c r="B17" s="15">
        <v>368399.81999999995</v>
      </c>
      <c r="C17" s="16">
        <v>177210.42352699986</v>
      </c>
      <c r="D17" s="11">
        <f t="shared" si="9"/>
        <v>0.48102744330059632</v>
      </c>
      <c r="E17" s="49">
        <v>99</v>
      </c>
      <c r="F17" s="49">
        <v>27</v>
      </c>
      <c r="G17" s="12">
        <f t="shared" si="8"/>
        <v>0.27272727272727271</v>
      </c>
      <c r="H17" s="22"/>
      <c r="I17" s="15">
        <v>36411.61</v>
      </c>
      <c r="J17" s="16">
        <v>20296.864800000003</v>
      </c>
      <c r="K17" s="11">
        <f t="shared" si="1"/>
        <v>0.55742838067308753</v>
      </c>
      <c r="L17" s="49">
        <v>59</v>
      </c>
      <c r="M17" s="49">
        <v>19</v>
      </c>
      <c r="N17" s="12">
        <f t="shared" si="2"/>
        <v>0.32203389830508472</v>
      </c>
      <c r="O17" s="22"/>
      <c r="P17" s="15">
        <v>23560.46</v>
      </c>
      <c r="Q17" s="16">
        <v>16714.292300000001</v>
      </c>
      <c r="R17" s="11">
        <f t="shared" si="3"/>
        <v>0.70942130586584484</v>
      </c>
      <c r="S17" s="49">
        <v>24</v>
      </c>
      <c r="T17" s="49">
        <v>17</v>
      </c>
      <c r="U17" s="12">
        <f t="shared" si="4"/>
        <v>0.70833333333333337</v>
      </c>
      <c r="W17" s="27"/>
      <c r="X17" s="24" cm="1">
        <f t="array" ref="X17">(_xlfn.IFS(D17&lt;70%,0,AND(D17&gt;=70%,D17&lt;=120%),D17*30%,D17&gt;120%,120%*30%))+(_xlfn.IFS(G17&lt;70%,0,AND(G17&gt;=70%,G17&lt;=120%),G17*30%,G17&gt;120%,120%*30%))+(_xlfn.IFS(K17&lt;70%,0,AND(K17&gt;=70%,K17&lt;=120%),K17*7.5%,K17&gt;120%,120%*7.5%))+(_xlfn.IFS(N17&lt;70%,0,AND(N17&gt;=70%,N17&lt;=120%),N17*7.5%,N17&gt;120%,120%*7.5%))+(_xlfn.IFS(R17&lt;70%,0,AND(R17&gt;=70%,R17&lt;=120%),R17*12.5%,R17&gt;120%,120%*12.5%))+(_xlfn.IFS(U17&lt;70%,0,AND(U17&gt;=70%,U17&lt;=120%),U17*12.5%,U17&gt;120%,120%*12.5%))</f>
        <v>0.17721932989989728</v>
      </c>
      <c r="Y17" s="29">
        <f t="shared" si="5"/>
        <v>0</v>
      </c>
      <c r="AA17" s="35">
        <f>'Apuração Inicial'!X17</f>
        <v>0.17721932989989728</v>
      </c>
      <c r="AB17" s="36">
        <f t="shared" si="6"/>
        <v>0.17721932989989728</v>
      </c>
      <c r="AC17" s="37">
        <f t="shared" si="7"/>
        <v>0</v>
      </c>
    </row>
    <row r="18" spans="1:32" x14ac:dyDescent="0.25">
      <c r="A18" t="s">
        <v>40</v>
      </c>
      <c r="B18" s="15">
        <v>661695.8600000001</v>
      </c>
      <c r="C18" s="16">
        <v>2236601.254127997</v>
      </c>
      <c r="D18" s="11">
        <f t="shared" si="9"/>
        <v>3.3801046512940198</v>
      </c>
      <c r="E18" s="49">
        <v>0</v>
      </c>
      <c r="F18" s="49">
        <v>31</v>
      </c>
      <c r="G18" s="12">
        <f t="shared" si="8"/>
        <v>0</v>
      </c>
      <c r="H18" s="22"/>
      <c r="I18" s="15">
        <v>100000</v>
      </c>
      <c r="J18" s="16">
        <v>248396.24024399999</v>
      </c>
      <c r="K18" s="11">
        <f t="shared" si="1"/>
        <v>2.48396240244</v>
      </c>
      <c r="L18" s="49">
        <v>0</v>
      </c>
      <c r="M18" s="49">
        <v>8</v>
      </c>
      <c r="N18" s="12">
        <f t="shared" si="2"/>
        <v>0</v>
      </c>
      <c r="O18" s="22"/>
      <c r="P18" s="15">
        <v>5000</v>
      </c>
      <c r="Q18" s="16">
        <v>22594.89238400001</v>
      </c>
      <c r="R18" s="11">
        <f t="shared" si="3"/>
        <v>4.5189784768000019</v>
      </c>
      <c r="S18" s="1">
        <v>0</v>
      </c>
      <c r="T18" s="1">
        <v>15</v>
      </c>
      <c r="U18" s="12">
        <f t="shared" si="4"/>
        <v>0</v>
      </c>
      <c r="W18" s="27"/>
      <c r="X18" s="24" cm="1">
        <f t="array" ref="X18">(_xlfn.IFS(D18&lt;70%,0,AND(D18&gt;=70%,D18&lt;=120%),D18*60%,D18&gt;120%,120%*60%))+(_xlfn.IFS(K18&lt;70%,0,AND(K18&gt;=70%,K18&lt;=120%),K18*15%,K18&gt;120%,120%*15%))+(_xlfn.IFS(R18&lt;70%,0,AND(R18&gt;=70%,R18&lt;=120%),R18*25%,R18&gt;120%,120%*25%))</f>
        <v>1.2</v>
      </c>
      <c r="Y18" s="29">
        <f t="shared" si="5"/>
        <v>0</v>
      </c>
      <c r="AA18" s="35">
        <f>'Apuração Inicial'!X18</f>
        <v>1.2</v>
      </c>
      <c r="AB18" s="36">
        <f t="shared" si="6"/>
        <v>1.2</v>
      </c>
      <c r="AC18" s="37">
        <f t="shared" si="7"/>
        <v>0</v>
      </c>
    </row>
    <row r="19" spans="1:32" x14ac:dyDescent="0.25">
      <c r="A19" t="s">
        <v>25</v>
      </c>
      <c r="B19" s="15">
        <v>160500</v>
      </c>
      <c r="C19" s="16">
        <v>354343.26000000007</v>
      </c>
      <c r="D19" s="11">
        <f t="shared" si="9"/>
        <v>2.2077461682242996</v>
      </c>
      <c r="E19" s="49">
        <v>0</v>
      </c>
      <c r="F19" s="49">
        <v>3</v>
      </c>
      <c r="G19" s="12">
        <f t="shared" si="8"/>
        <v>0</v>
      </c>
      <c r="H19" s="22"/>
      <c r="I19" s="15">
        <v>5000</v>
      </c>
      <c r="J19" s="16">
        <v>29676.239999999998</v>
      </c>
      <c r="K19" s="11">
        <f t="shared" si="1"/>
        <v>5.9352479999999996</v>
      </c>
      <c r="L19" s="49">
        <v>0</v>
      </c>
      <c r="M19" s="49">
        <v>2</v>
      </c>
      <c r="N19" s="12">
        <f t="shared" si="2"/>
        <v>0</v>
      </c>
      <c r="O19" s="22"/>
      <c r="P19" s="15">
        <v>2500</v>
      </c>
      <c r="Q19" s="16">
        <v>20794.5</v>
      </c>
      <c r="R19" s="11">
        <f t="shared" si="3"/>
        <v>8.3178000000000001</v>
      </c>
      <c r="S19" s="49">
        <v>0</v>
      </c>
      <c r="T19" s="49">
        <v>2</v>
      </c>
      <c r="U19" s="12">
        <f t="shared" si="4"/>
        <v>0</v>
      </c>
      <c r="W19" s="27"/>
      <c r="X19" s="24" cm="1">
        <f t="array" ref="X19">(_xlfn.IFS(D19&lt;70%,0,AND(D19&gt;=70%,D19&lt;=120%),D19*60%,D19&gt;120%,120%*60%))+(_xlfn.IFS(K19&lt;70%,0,AND(K19&gt;=70%,K19&lt;=120%),K19*15%,K19&gt;120%,120%*15%))+(_xlfn.IFS(R19&lt;70%,0,AND(R19&gt;=70%,R19&lt;=120%),R19*25%,R19&gt;120%,120%*25%))</f>
        <v>1.2</v>
      </c>
      <c r="Y19" s="29">
        <f t="shared" si="5"/>
        <v>0</v>
      </c>
      <c r="AA19" s="35">
        <f>'Apuração Inicial'!X19</f>
        <v>1.2</v>
      </c>
      <c r="AB19" s="36">
        <f t="shared" si="6"/>
        <v>1.2</v>
      </c>
      <c r="AC19" s="37">
        <f t="shared" si="7"/>
        <v>0</v>
      </c>
    </row>
    <row r="20" spans="1:32" x14ac:dyDescent="0.25">
      <c r="A20" t="s">
        <v>50</v>
      </c>
      <c r="B20" s="15">
        <v>136998</v>
      </c>
      <c r="C20" s="16">
        <v>137191.93807199999</v>
      </c>
      <c r="D20" s="11">
        <f t="shared" si="9"/>
        <v>1.0014156270310515</v>
      </c>
      <c r="E20" s="49">
        <v>0</v>
      </c>
      <c r="F20" s="49">
        <v>12</v>
      </c>
      <c r="G20" s="12">
        <f t="shared" si="8"/>
        <v>0</v>
      </c>
      <c r="H20" s="22"/>
      <c r="I20" s="15">
        <v>2500</v>
      </c>
      <c r="J20" s="16">
        <v>7601.1839999999993</v>
      </c>
      <c r="K20" s="11">
        <f t="shared" si="1"/>
        <v>3.0404735999999999</v>
      </c>
      <c r="L20" s="49">
        <v>0</v>
      </c>
      <c r="M20" s="49">
        <v>6</v>
      </c>
      <c r="N20" s="12">
        <f t="shared" si="2"/>
        <v>0</v>
      </c>
      <c r="O20" s="22"/>
      <c r="P20" s="15">
        <v>5000</v>
      </c>
      <c r="Q20" s="16">
        <v>15415.786199999999</v>
      </c>
      <c r="R20" s="11">
        <f t="shared" si="3"/>
        <v>3.0831572399999998</v>
      </c>
      <c r="S20" s="1">
        <v>0</v>
      </c>
      <c r="T20" s="1">
        <v>8</v>
      </c>
      <c r="U20" s="12">
        <f t="shared" si="4"/>
        <v>0</v>
      </c>
      <c r="W20" s="27"/>
      <c r="X20" s="24" cm="1">
        <f t="array" ref="X20">(_xlfn.IFS(D20&lt;70%,0,AND(D20&gt;=70%,D20&lt;=120%),D20*60%,D20&gt;120%,120%*60%))+(_xlfn.IFS(K20&lt;70%,0,AND(K20&gt;=70%,K20&lt;=120%),K20*15%,K20&gt;120%,120%*15%))+(_xlfn.IFS(R20&lt;70%,0,AND(R20&gt;=70%,R20&lt;=120%),R20*25%,R20&gt;120%,120%*25%))</f>
        <v>1.0808493762186309</v>
      </c>
      <c r="Y20" s="29">
        <f t="shared" si="5"/>
        <v>0</v>
      </c>
      <c r="AA20" s="35">
        <f>'Apuração Inicial'!X20</f>
        <v>1.0808493762186309</v>
      </c>
      <c r="AB20" s="36">
        <f t="shared" si="6"/>
        <v>1.0808493762186309</v>
      </c>
      <c r="AC20" s="37">
        <f t="shared" si="7"/>
        <v>0</v>
      </c>
      <c r="AE20" s="70"/>
      <c r="AF20" s="70"/>
    </row>
    <row r="21" spans="1:32" x14ac:dyDescent="0.25">
      <c r="A21" t="s">
        <v>5</v>
      </c>
      <c r="B21" s="15">
        <v>225200.35</v>
      </c>
      <c r="C21" s="16">
        <v>240104.44759999969</v>
      </c>
      <c r="D21" s="11">
        <f t="shared" si="9"/>
        <v>1.0661815028262598</v>
      </c>
      <c r="E21" s="49">
        <v>69</v>
      </c>
      <c r="F21" s="49">
        <v>39</v>
      </c>
      <c r="G21" s="12">
        <f t="shared" si="8"/>
        <v>0.56521739130434778</v>
      </c>
      <c r="H21" s="22"/>
      <c r="I21" s="15">
        <v>22258.17</v>
      </c>
      <c r="J21" s="16">
        <v>35219.501747999973</v>
      </c>
      <c r="K21" s="11">
        <f t="shared" si="1"/>
        <v>1.5823179420410562</v>
      </c>
      <c r="L21" s="49">
        <v>41</v>
      </c>
      <c r="M21" s="49">
        <v>31</v>
      </c>
      <c r="N21" s="12">
        <f t="shared" si="2"/>
        <v>0.75609756097560976</v>
      </c>
      <c r="O21" s="22"/>
      <c r="P21" s="15">
        <v>14402.35</v>
      </c>
      <c r="Q21" s="16">
        <v>18291.780159999995</v>
      </c>
      <c r="R21" s="11">
        <f t="shared" si="3"/>
        <v>1.2700552451509646</v>
      </c>
      <c r="S21" s="1">
        <v>16</v>
      </c>
      <c r="T21" s="1">
        <v>24</v>
      </c>
      <c r="U21" s="12">
        <f t="shared" si="4"/>
        <v>1.5</v>
      </c>
      <c r="W21" s="27"/>
      <c r="X21" s="24" cm="1">
        <f t="array" ref="X21">(_xlfn.IFS(D21&lt;70%,0,AND(D21&gt;=70%,D21&lt;=120%),D21*30%,D21&gt;120%,120%*30%))+(_xlfn.IFS(G21&lt;70%,0,AND(G21&gt;=70%,G21&lt;=120%),G21*30%,G21&gt;120%,120%*30%))+(_xlfn.IFS(K21&lt;70%,0,AND(K21&gt;=70%,K21&lt;=120%),K21*7.5%,K21&gt;120%,120%*7.5%))+(_xlfn.IFS(N21&lt;70%,0,AND(N21&gt;=70%,N21&lt;=120%),N21*7.5%,N21&gt;120%,120%*7.5%))+(_xlfn.IFS(R21&lt;70%,0,AND(R21&gt;=70%,R21&lt;=120%),R21*12.5%,R21&gt;120%,120%*12.5%))+(_xlfn.IFS(U21&lt;70%,0,AND(U21&gt;=70%,U21&lt;=120%),U21*12.5%,U21&gt;120%,120%*12.5%))</f>
        <v>0.76656176792104869</v>
      </c>
      <c r="Y21" s="29">
        <f t="shared" si="5"/>
        <v>0</v>
      </c>
      <c r="AA21" s="35">
        <f>'Apuração Inicial'!X21</f>
        <v>0.76656176792104869</v>
      </c>
      <c r="AB21" s="36">
        <f t="shared" si="6"/>
        <v>0.76656176792104869</v>
      </c>
      <c r="AC21" s="37">
        <f t="shared" si="7"/>
        <v>0</v>
      </c>
    </row>
    <row r="22" spans="1:32" x14ac:dyDescent="0.25">
      <c r="A22" t="s">
        <v>41</v>
      </c>
      <c r="B22" s="15">
        <v>274118.05</v>
      </c>
      <c r="C22" s="16">
        <v>78998.460000000006</v>
      </c>
      <c r="D22" s="11">
        <f t="shared" si="9"/>
        <v>0.28819138323798821</v>
      </c>
      <c r="E22" s="49">
        <v>51</v>
      </c>
      <c r="F22" s="49">
        <v>19</v>
      </c>
      <c r="G22" s="12">
        <f t="shared" si="8"/>
        <v>0.37254901960784315</v>
      </c>
      <c r="H22" s="22"/>
      <c r="I22" s="15">
        <v>27093.06</v>
      </c>
      <c r="J22" s="16">
        <v>3011.16</v>
      </c>
      <c r="K22" s="11">
        <f t="shared" si="1"/>
        <v>0.11114137716448418</v>
      </c>
      <c r="L22" s="49">
        <v>31</v>
      </c>
      <c r="M22" s="49">
        <v>9</v>
      </c>
      <c r="N22" s="12">
        <f t="shared" si="2"/>
        <v>0.29032258064516131</v>
      </c>
      <c r="O22" s="22"/>
      <c r="P22" s="15">
        <v>17530.810000000001</v>
      </c>
      <c r="Q22" s="16">
        <v>5388.54</v>
      </c>
      <c r="R22" s="11">
        <f t="shared" si="3"/>
        <v>0.30737541505498034</v>
      </c>
      <c r="S22" s="49">
        <v>12</v>
      </c>
      <c r="T22" s="49">
        <v>9</v>
      </c>
      <c r="U22" s="12">
        <f t="shared" si="4"/>
        <v>0.75</v>
      </c>
      <c r="W22" s="27"/>
      <c r="X22" s="24" cm="1">
        <f t="array" ref="X22">(_xlfn.IFS(D22&lt;70%,0,AND(D22&gt;=70%,D22&lt;=120%),D22*30%,D22&gt;120%,120%*30%))+(_xlfn.IFS(G22&lt;70%,0,AND(G22&gt;=70%,G22&lt;=120%),G22*30%,G22&gt;120%,120%*30%))+(_xlfn.IFS(K22&lt;70%,0,AND(K22&gt;=70%,K22&lt;=120%),K22*7.5%,K22&gt;120%,120%*7.5%))+(_xlfn.IFS(N22&lt;70%,0,AND(N22&gt;=70%,N22&lt;=120%),N22*7.5%,N22&gt;120%,120%*7.5%))+(_xlfn.IFS(R22&lt;70%,0,AND(R22&gt;=70%,R22&lt;=120%),R22*12.5%,R22&gt;120%,120%*12.5%))+(_xlfn.IFS(U22&lt;70%,0,AND(U22&gt;=70%,U22&lt;=120%),U22*12.5%,U22&gt;120%,120%*12.5%))</f>
        <v>9.375E-2</v>
      </c>
      <c r="Y22" s="29">
        <f t="shared" si="5"/>
        <v>0</v>
      </c>
      <c r="AA22" s="35">
        <f>'Apuração Inicial'!X22</f>
        <v>0</v>
      </c>
      <c r="AB22" s="36">
        <f t="shared" si="6"/>
        <v>9.375E-2</v>
      </c>
      <c r="AC22" s="37" t="e">
        <f t="shared" si="7"/>
        <v>#DIV/0!</v>
      </c>
    </row>
    <row r="23" spans="1:32" x14ac:dyDescent="0.25">
      <c r="A23" t="s">
        <v>29</v>
      </c>
      <c r="B23" s="17">
        <v>456810.28</v>
      </c>
      <c r="C23" s="18">
        <v>492657.20430000004</v>
      </c>
      <c r="D23" s="13">
        <v>1.0784722364391626</v>
      </c>
      <c r="E23" s="19">
        <v>69</v>
      </c>
      <c r="F23" s="19">
        <v>21</v>
      </c>
      <c r="G23" s="14">
        <v>0.30434782608695654</v>
      </c>
      <c r="H23" s="22"/>
      <c r="I23" s="17">
        <v>40832.369999999995</v>
      </c>
      <c r="J23" s="18">
        <v>24673.611199999999</v>
      </c>
      <c r="K23" s="13">
        <v>0.60426595860098253</v>
      </c>
      <c r="L23" s="19">
        <v>41</v>
      </c>
      <c r="M23" s="19">
        <v>13</v>
      </c>
      <c r="N23" s="14">
        <v>0.31707317073170732</v>
      </c>
      <c r="O23" s="22"/>
      <c r="P23" s="17">
        <v>25620.47</v>
      </c>
      <c r="Q23" s="18">
        <v>39579.995599999995</v>
      </c>
      <c r="R23" s="13">
        <v>1.5448582949493117</v>
      </c>
      <c r="S23" s="46">
        <v>17</v>
      </c>
      <c r="T23" s="46">
        <v>12</v>
      </c>
      <c r="U23" s="14">
        <v>0.70588235294117652</v>
      </c>
      <c r="W23" s="28"/>
      <c r="X23" s="26" cm="1">
        <f t="array" ref="X23">(_xlfn.IFS(D23&lt;70%,0,AND(D23&gt;=70%,D23&lt;=120%),D23*30%,D23&gt;120%,120%*30%))+(_xlfn.IFS(G23&lt;70%,0,AND(G23&gt;=70%,G23&lt;=120%),G23*30%,G23&gt;120%,120%*30%))+(_xlfn.IFS(K23&lt;70%,0,AND(K23&gt;=70%,K23&lt;=120%),K23*7.5%,K23&gt;120%,120%*7.5%))+(_xlfn.IFS(N23&lt;70%,0,AND(N23&gt;=70%,N23&lt;=120%),N23*7.5%,N23&gt;120%,120%*7.5%))+(_xlfn.IFS(R23&lt;70%,0,AND(R23&gt;=70%,R23&lt;=120%),R23*12.5%,R23&gt;120%,120%*12.5%))+(_xlfn.IFS(U23&lt;70%,0,AND(U23&gt;=70%,U23&lt;=120%),U23*12.5%,U23&gt;120%,120%*12.5%))</f>
        <v>0.56177696504939578</v>
      </c>
      <c r="Y23" s="30">
        <f t="shared" si="5"/>
        <v>0</v>
      </c>
      <c r="Z23" s="3"/>
      <c r="AA23" s="39">
        <f>'Apuração Inicial'!X23</f>
        <v>1.1599991111111112</v>
      </c>
      <c r="AB23" s="40">
        <f t="shared" si="6"/>
        <v>0.56177696504939578</v>
      </c>
      <c r="AC23" s="41">
        <f t="shared" si="7"/>
        <v>-0.51570914178434601</v>
      </c>
    </row>
    <row r="24" spans="1:32" x14ac:dyDescent="0.25">
      <c r="P24" s="1"/>
      <c r="Q24" s="1"/>
      <c r="R24" s="1"/>
      <c r="U24" s="1"/>
      <c r="Z24" s="3"/>
    </row>
    <row r="25" spans="1:32" x14ac:dyDescent="0.25">
      <c r="A25" s="2"/>
      <c r="B25" s="152" t="s">
        <v>16</v>
      </c>
      <c r="C25" s="153"/>
      <c r="D25" s="153"/>
      <c r="E25" s="153"/>
      <c r="F25" s="153"/>
      <c r="G25" s="154"/>
      <c r="H25" s="4"/>
      <c r="I25" s="155" t="s">
        <v>17</v>
      </c>
      <c r="J25" s="156"/>
      <c r="K25" s="156"/>
      <c r="L25" s="156"/>
      <c r="M25" s="156"/>
      <c r="N25" s="157"/>
      <c r="O25" s="4"/>
      <c r="P25" s="158" t="s">
        <v>18</v>
      </c>
      <c r="Q25" s="159"/>
      <c r="R25" s="159"/>
      <c r="S25" s="159"/>
      <c r="T25" s="159"/>
      <c r="U25" s="160"/>
      <c r="V25" s="3"/>
      <c r="W25" s="134" t="s">
        <v>20</v>
      </c>
      <c r="X25" s="135"/>
      <c r="Y25" s="136"/>
      <c r="Z25" s="3"/>
      <c r="AA25" s="134" t="s">
        <v>20</v>
      </c>
      <c r="AB25" s="135"/>
      <c r="AC25" s="136"/>
    </row>
    <row r="26" spans="1:32" x14ac:dyDescent="0.25">
      <c r="A26" s="21"/>
      <c r="B26" s="137" t="s">
        <v>14</v>
      </c>
      <c r="C26" s="138"/>
      <c r="D26" s="138"/>
      <c r="E26" s="138" t="s">
        <v>15</v>
      </c>
      <c r="F26" s="138"/>
      <c r="G26" s="139"/>
      <c r="H26" s="4"/>
      <c r="I26" s="137" t="s">
        <v>14</v>
      </c>
      <c r="J26" s="138"/>
      <c r="K26" s="138"/>
      <c r="L26" s="138" t="s">
        <v>15</v>
      </c>
      <c r="M26" s="138"/>
      <c r="N26" s="139"/>
      <c r="O26" s="4"/>
      <c r="P26" s="137" t="s">
        <v>14</v>
      </c>
      <c r="Q26" s="138"/>
      <c r="R26" s="138"/>
      <c r="S26" s="138" t="s">
        <v>15</v>
      </c>
      <c r="T26" s="138"/>
      <c r="U26" s="139"/>
      <c r="V26" s="3"/>
      <c r="W26" s="5"/>
      <c r="X26" s="6"/>
      <c r="Y26" s="7"/>
      <c r="Z26" s="3"/>
      <c r="AA26" s="5"/>
      <c r="AB26" s="6"/>
      <c r="AC26" s="7"/>
    </row>
    <row r="27" spans="1:32" x14ac:dyDescent="0.25">
      <c r="A27" s="20" t="s">
        <v>6</v>
      </c>
      <c r="B27" s="8" t="s">
        <v>11</v>
      </c>
      <c r="C27" s="9" t="s">
        <v>12</v>
      </c>
      <c r="D27" s="9" t="s">
        <v>13</v>
      </c>
      <c r="E27" s="9" t="s">
        <v>11</v>
      </c>
      <c r="F27" s="9" t="s">
        <v>12</v>
      </c>
      <c r="G27" s="10" t="s">
        <v>13</v>
      </c>
      <c r="H27" s="4"/>
      <c r="I27" s="8" t="s">
        <v>11</v>
      </c>
      <c r="J27" s="9" t="s">
        <v>12</v>
      </c>
      <c r="K27" s="9" t="s">
        <v>13</v>
      </c>
      <c r="L27" s="9" t="s">
        <v>11</v>
      </c>
      <c r="M27" s="9" t="s">
        <v>12</v>
      </c>
      <c r="N27" s="10" t="s">
        <v>13</v>
      </c>
      <c r="O27" s="4"/>
      <c r="P27" s="8" t="s">
        <v>11</v>
      </c>
      <c r="Q27" s="9" t="s">
        <v>12</v>
      </c>
      <c r="R27" s="9" t="s">
        <v>13</v>
      </c>
      <c r="S27" s="9" t="s">
        <v>11</v>
      </c>
      <c r="T27" s="9" t="s">
        <v>12</v>
      </c>
      <c r="U27" s="10" t="s">
        <v>13</v>
      </c>
      <c r="V27" s="3"/>
      <c r="W27" s="8" t="s">
        <v>1</v>
      </c>
      <c r="X27" s="9" t="s">
        <v>19</v>
      </c>
      <c r="Y27" s="10" t="s">
        <v>20</v>
      </c>
      <c r="AA27" s="8" t="s">
        <v>21</v>
      </c>
      <c r="AB27" s="9" t="s">
        <v>22</v>
      </c>
      <c r="AC27" s="10" t="s">
        <v>13</v>
      </c>
    </row>
    <row r="28" spans="1:32" x14ac:dyDescent="0.25">
      <c r="A28" t="s">
        <v>30</v>
      </c>
      <c r="B28" s="17">
        <f>SUM(B9,B6,B16,B21,B15,B17,B7,B22,B14,B12,B4,B10)</f>
        <v>4654924.7799999993</v>
      </c>
      <c r="C28" s="17">
        <f>SUM(C9,C6,C16,C21,C15,C17,C7,C22,C14,C12,C4,C10)</f>
        <v>3043152.6228330005</v>
      </c>
      <c r="D28" s="13">
        <f>IFERROR(C28/B28,0)</f>
        <v>0.65374904357380426</v>
      </c>
      <c r="E28" s="32">
        <f t="shared" ref="E28:F28" si="10">SUM(E9,E6,E16,E21,E15,E17,E7,E22,E14,E12,E4,E10)</f>
        <v>996</v>
      </c>
      <c r="F28" s="32">
        <f t="shared" si="10"/>
        <v>459</v>
      </c>
      <c r="G28" s="14">
        <f>IFERROR(F28/E28,0)</f>
        <v>0.46084337349397592</v>
      </c>
      <c r="I28" s="17">
        <f>SUM(I9,I6,I16,I21,I15,I17,I7,I22,I14,I12,I4,I10)</f>
        <v>460079.77999999997</v>
      </c>
      <c r="J28" s="17">
        <f>SUM(J9,J6,J16,J21,J15,J17,J7,J22,J14,J12,J4,J10)</f>
        <v>303771.52681299997</v>
      </c>
      <c r="K28" s="13">
        <f>IFERROR(J28/I28,0)</f>
        <v>0.66025837260876796</v>
      </c>
      <c r="L28" s="32">
        <f t="shared" ref="L28:M28" si="11">SUM(L9,L6,L16,L21,L15,L17,L7,L22,L14,L12,L4,L10)</f>
        <v>597</v>
      </c>
      <c r="M28" s="32">
        <f t="shared" si="11"/>
        <v>315</v>
      </c>
      <c r="N28" s="14">
        <f>IFERROR(M28/L28,0)</f>
        <v>0.52763819095477382</v>
      </c>
      <c r="P28" s="17">
        <f>SUM(P9,P6,P16,P21,P15,P17,P7,P22,P14,P12,P4,P10)</f>
        <v>297698.68</v>
      </c>
      <c r="Q28" s="17">
        <f>SUM(Q9,Q6,Q16,Q21,Q15,Q17,Q7,Q22,Q14,Q12,Q4,Q10)</f>
        <v>227406.98073799993</v>
      </c>
      <c r="R28" s="13">
        <f>IFERROR(Q28/P28,0)</f>
        <v>0.76388306705961861</v>
      </c>
      <c r="S28" s="32">
        <f t="shared" ref="S28:T28" si="12">SUM(S9,S6,S16,S21,S15,S17,S7,S22,S14,S12,S4,S10)</f>
        <v>240</v>
      </c>
      <c r="T28" s="32">
        <f t="shared" si="12"/>
        <v>262</v>
      </c>
      <c r="U28" s="14">
        <f>IFERROR(T28/S28,0)</f>
        <v>1.0916666666666666</v>
      </c>
      <c r="W28" s="25"/>
      <c r="X28" s="26" cm="1">
        <f t="array" ref="X28">(_xlfn.IFS(D28&lt;70%,0,AND(D28&gt;=70%,D28&lt;=120%),D28*30%,D28&gt;120%,120%*30%))+(_xlfn.IFS(G28&lt;70%,0,AND(G28&gt;=70%,G28&lt;=120%),G28*30%,G28&gt;120%,120%*30%))+(_xlfn.IFS(K28&lt;70%,0,AND(K28&gt;=70%,K28&lt;=120%),K28*7.5%,K28&gt;120%,120%*7.5%))+(_xlfn.IFS(N28&lt;70%,0,AND(N28&gt;=70%,N28&lt;=120%),N28*7.5%,N28&gt;120%,120%*7.5%))+(_xlfn.IFS(R28&lt;70%,0,AND(R28&gt;=70%,R28&lt;=120%),R28*12.5%,R28&gt;120%,120%*12.5%))+(_xlfn.IFS(U28&lt;70%,0,AND(U28&gt;=70%,U28&lt;=120%),U28*12.5%,U28&gt;120%,120%*12.5%))</f>
        <v>0.23194371671578565</v>
      </c>
      <c r="Y28" s="30">
        <f t="shared" ref="Y28" si="13">X28*(W28/2)</f>
        <v>0</v>
      </c>
      <c r="AA28" s="39">
        <f>'Apuração Inicial'!X28</f>
        <v>0.1448170731707317</v>
      </c>
      <c r="AB28" s="40">
        <f t="shared" ref="AB28" si="14">X28</f>
        <v>0.23194371671578565</v>
      </c>
      <c r="AC28" s="41">
        <f t="shared" ref="AC28" si="15">AB28/AA28-1</f>
        <v>0.60163240174268839</v>
      </c>
      <c r="AD28" s="3"/>
    </row>
    <row r="29" spans="1:32" x14ac:dyDescent="0.25">
      <c r="B29" s="16"/>
      <c r="C29" s="16"/>
      <c r="D29" s="22"/>
      <c r="E29" s="31"/>
      <c r="F29" s="31"/>
      <c r="G29" s="22"/>
      <c r="I29" s="16"/>
      <c r="J29" s="16"/>
      <c r="K29" s="22"/>
      <c r="L29" s="31"/>
      <c r="M29" s="31"/>
      <c r="N29" s="22"/>
      <c r="P29" s="16"/>
      <c r="Q29" s="16"/>
      <c r="R29" s="22"/>
      <c r="S29" s="31"/>
      <c r="T29" s="31"/>
      <c r="U29" s="22"/>
      <c r="X29" s="43"/>
      <c r="Y29" s="44"/>
      <c r="Z29" s="3"/>
      <c r="AD29" s="3"/>
    </row>
    <row r="30" spans="1:32" x14ac:dyDescent="0.25">
      <c r="A30" s="2"/>
      <c r="B30" s="152" t="s">
        <v>16</v>
      </c>
      <c r="C30" s="153"/>
      <c r="D30" s="153"/>
      <c r="E30" s="153"/>
      <c r="F30" s="153"/>
      <c r="G30" s="154"/>
      <c r="H30" s="4"/>
      <c r="I30" s="155" t="s">
        <v>17</v>
      </c>
      <c r="J30" s="156"/>
      <c r="K30" s="156"/>
      <c r="L30" s="156"/>
      <c r="M30" s="156"/>
      <c r="N30" s="157"/>
      <c r="O30" s="4"/>
      <c r="P30" s="158" t="s">
        <v>18</v>
      </c>
      <c r="Q30" s="159"/>
      <c r="R30" s="159"/>
      <c r="S30" s="159"/>
      <c r="T30" s="159"/>
      <c r="U30" s="160"/>
      <c r="V30" s="3"/>
      <c r="W30" s="134" t="s">
        <v>20</v>
      </c>
      <c r="X30" s="135"/>
      <c r="Y30" s="136"/>
      <c r="Z30" s="3"/>
      <c r="AA30" s="134" t="s">
        <v>20</v>
      </c>
      <c r="AB30" s="135"/>
      <c r="AC30" s="136"/>
      <c r="AD30" s="4"/>
    </row>
    <row r="31" spans="1:32" x14ac:dyDescent="0.25">
      <c r="A31" s="21"/>
      <c r="B31" s="137" t="s">
        <v>14</v>
      </c>
      <c r="C31" s="138"/>
      <c r="D31" s="138"/>
      <c r="E31" s="138" t="s">
        <v>15</v>
      </c>
      <c r="F31" s="138"/>
      <c r="G31" s="139"/>
      <c r="H31" s="4"/>
      <c r="I31" s="137" t="s">
        <v>14</v>
      </c>
      <c r="J31" s="138"/>
      <c r="K31" s="138"/>
      <c r="L31" s="138" t="s">
        <v>15</v>
      </c>
      <c r="M31" s="138"/>
      <c r="N31" s="139"/>
      <c r="O31" s="4"/>
      <c r="P31" s="137" t="s">
        <v>14</v>
      </c>
      <c r="Q31" s="138"/>
      <c r="R31" s="138"/>
      <c r="S31" s="138" t="s">
        <v>15</v>
      </c>
      <c r="T31" s="138"/>
      <c r="U31" s="139"/>
      <c r="V31" s="3"/>
      <c r="W31" s="5"/>
      <c r="X31" s="6"/>
      <c r="Y31" s="7"/>
      <c r="AA31" s="5"/>
      <c r="AB31" s="6"/>
      <c r="AC31" s="7"/>
    </row>
    <row r="32" spans="1:32" x14ac:dyDescent="0.25">
      <c r="A32" s="20" t="s">
        <v>36</v>
      </c>
      <c r="B32" s="8" t="s">
        <v>11</v>
      </c>
      <c r="C32" s="9" t="s">
        <v>12</v>
      </c>
      <c r="D32" s="9" t="s">
        <v>13</v>
      </c>
      <c r="E32" s="9" t="s">
        <v>11</v>
      </c>
      <c r="F32" s="9" t="s">
        <v>12</v>
      </c>
      <c r="G32" s="10" t="s">
        <v>13</v>
      </c>
      <c r="H32" s="4"/>
      <c r="I32" s="8" t="s">
        <v>11</v>
      </c>
      <c r="J32" s="9" t="s">
        <v>12</v>
      </c>
      <c r="K32" s="9" t="s">
        <v>13</v>
      </c>
      <c r="L32" s="9" t="s">
        <v>11</v>
      </c>
      <c r="M32" s="9" t="s">
        <v>12</v>
      </c>
      <c r="N32" s="10" t="s">
        <v>13</v>
      </c>
      <c r="O32" s="4"/>
      <c r="P32" s="8" t="s">
        <v>11</v>
      </c>
      <c r="Q32" s="9" t="s">
        <v>12</v>
      </c>
      <c r="R32" s="9" t="s">
        <v>13</v>
      </c>
      <c r="S32" s="9" t="s">
        <v>11</v>
      </c>
      <c r="T32" s="9" t="s">
        <v>12</v>
      </c>
      <c r="U32" s="10" t="s">
        <v>13</v>
      </c>
      <c r="V32" s="3"/>
      <c r="W32" s="8" t="s">
        <v>1</v>
      </c>
      <c r="X32" s="9" t="s">
        <v>19</v>
      </c>
      <c r="Y32" s="10" t="s">
        <v>20</v>
      </c>
      <c r="AA32" s="8" t="s">
        <v>21</v>
      </c>
      <c r="AB32" s="9" t="s">
        <v>22</v>
      </c>
      <c r="AC32" s="10" t="s">
        <v>13</v>
      </c>
    </row>
    <row r="33" spans="1:32" x14ac:dyDescent="0.25">
      <c r="A33" t="s">
        <v>49</v>
      </c>
      <c r="B33" s="72">
        <v>31840180.540000003</v>
      </c>
      <c r="C33" s="44">
        <v>29816202.496967021</v>
      </c>
      <c r="D33" s="11">
        <v>0.93643321084532449</v>
      </c>
      <c r="G33" s="67"/>
      <c r="I33" s="63">
        <v>3188177.86</v>
      </c>
      <c r="J33" s="44">
        <v>1981387.6889729998</v>
      </c>
      <c r="K33" s="22">
        <v>0.62147965890867829</v>
      </c>
      <c r="N33" s="67"/>
      <c r="P33" s="63">
        <v>1950582.93</v>
      </c>
      <c r="Q33" s="44">
        <v>1635823.2848009996</v>
      </c>
      <c r="R33" s="22">
        <v>0.83863303612576967</v>
      </c>
      <c r="U33" s="67"/>
      <c r="W33" s="62"/>
      <c r="Y33" s="61"/>
      <c r="AA33" s="68"/>
      <c r="AC33" s="69"/>
    </row>
    <row r="34" spans="1:32" x14ac:dyDescent="0.25">
      <c r="A34" t="s">
        <v>48</v>
      </c>
      <c r="B34" s="72">
        <v>27686059.800000001</v>
      </c>
      <c r="C34" s="44">
        <v>20807385.575753007</v>
      </c>
      <c r="D34" s="64">
        <v>0.75154737532398908</v>
      </c>
      <c r="G34" s="67"/>
      <c r="I34" s="72">
        <v>2036808.02</v>
      </c>
      <c r="J34" s="44">
        <v>1453850.4466339997</v>
      </c>
      <c r="K34" s="64">
        <v>0.71378864986696178</v>
      </c>
      <c r="N34" s="67"/>
      <c r="P34" s="72">
        <v>1616273.3</v>
      </c>
      <c r="Q34" s="44">
        <v>919102.22386299993</v>
      </c>
      <c r="R34" s="64">
        <v>0.56865520445273698</v>
      </c>
      <c r="U34" s="67"/>
      <c r="W34" s="62"/>
      <c r="Y34" s="61"/>
      <c r="AA34" s="68"/>
      <c r="AC34" s="69"/>
    </row>
    <row r="35" spans="1:32" x14ac:dyDescent="0.25">
      <c r="A35" t="s">
        <v>47</v>
      </c>
      <c r="B35" s="15">
        <v>8994918.8400000017</v>
      </c>
      <c r="C35" s="16">
        <v>9427895.9773729928</v>
      </c>
      <c r="D35" s="64">
        <v>1.0481357469783452</v>
      </c>
      <c r="G35" s="67"/>
      <c r="I35" s="71">
        <v>645583.8600000001</v>
      </c>
      <c r="J35" s="66">
        <v>757633.26245699986</v>
      </c>
      <c r="K35" s="22">
        <v>1.1735628930639619</v>
      </c>
      <c r="N35" s="67"/>
      <c r="P35" s="65">
        <v>360641.99</v>
      </c>
      <c r="Q35" s="66">
        <v>379172.60770999995</v>
      </c>
      <c r="R35" s="22">
        <v>1.0513823077285038</v>
      </c>
      <c r="S35" s="1">
        <f>SUM(S28:S28)</f>
        <v>240</v>
      </c>
      <c r="T35" s="1">
        <f>SUM(T28:T28)</f>
        <v>262</v>
      </c>
      <c r="U35" s="67">
        <f t="shared" ref="U35:U36" si="16">IFERROR(T35/S35,0)</f>
        <v>1.0916666666666666</v>
      </c>
      <c r="W35" s="62"/>
      <c r="Y35" s="61"/>
      <c r="Z35" s="3"/>
      <c r="AA35" s="68"/>
      <c r="AC35" s="69"/>
    </row>
    <row r="36" spans="1:32" x14ac:dyDescent="0.25">
      <c r="A36" s="20" t="s">
        <v>8</v>
      </c>
      <c r="B36" s="73">
        <f>SUM(B33:B35)</f>
        <v>68521159.180000007</v>
      </c>
      <c r="C36" s="52">
        <f t="shared" ref="C36" si="17">SUM(C33:C35)</f>
        <v>60051484.050093025</v>
      </c>
      <c r="D36" s="53">
        <f>IFERROR(C36/B36,0)</f>
        <v>0.87639328885756629</v>
      </c>
      <c r="E36" s="54">
        <f t="shared" ref="E36:F36" si="18">SUM(E33:E35)</f>
        <v>0</v>
      </c>
      <c r="F36" s="54">
        <f t="shared" si="18"/>
        <v>0</v>
      </c>
      <c r="G36" s="55">
        <f>IFERROR(F36/E36,0)</f>
        <v>0</v>
      </c>
      <c r="H36" s="4"/>
      <c r="I36" s="51">
        <f t="shared" ref="I36:J36" si="19">SUM(I33:I35)</f>
        <v>5870569.7400000002</v>
      </c>
      <c r="J36" s="52">
        <f t="shared" si="19"/>
        <v>4192871.3980639996</v>
      </c>
      <c r="K36" s="53">
        <f t="shared" ref="K36" si="20">IFERROR(J36/I36,0)</f>
        <v>0.71421882095961597</v>
      </c>
      <c r="L36" s="54">
        <f t="shared" ref="L36:M36" si="21">SUM(L33:L35)</f>
        <v>0</v>
      </c>
      <c r="M36" s="54">
        <f t="shared" si="21"/>
        <v>0</v>
      </c>
      <c r="N36" s="55">
        <f t="shared" ref="N36" si="22">IFERROR(M36/L36,0)</f>
        <v>0</v>
      </c>
      <c r="O36" s="4"/>
      <c r="P36" s="51">
        <f t="shared" ref="P36:Q36" si="23">SUM(P33:P35)</f>
        <v>3927498.2199999997</v>
      </c>
      <c r="Q36" s="52">
        <f t="shared" si="23"/>
        <v>2934098.1163739995</v>
      </c>
      <c r="R36" s="53">
        <f t="shared" ref="R36" si="24">IFERROR(Q36/P36,0)</f>
        <v>0.74706542231711048</v>
      </c>
      <c r="S36" s="54">
        <f t="shared" ref="S36:T36" si="25">SUM(S33:S35)</f>
        <v>240</v>
      </c>
      <c r="T36" s="54">
        <f t="shared" si="25"/>
        <v>262</v>
      </c>
      <c r="U36" s="55">
        <f t="shared" si="16"/>
        <v>1.0916666666666666</v>
      </c>
      <c r="W36" s="23"/>
      <c r="X36" s="24" cm="1">
        <f t="array" ref="X36">(_xlfn.IFS(D36&lt;70%,0,AND(D36&gt;=70%,D36&lt;=120%),D36*60%,D36&gt;120%,120%*60%))+(_xlfn.IFS(K36&lt;70%,0,AND(K36&gt;=70%,K36&lt;=120%),K36*15%,K36&gt;120%,120%*15%))+(_xlfn.IFS(R36&lt;70%,0,AND(R36&gt;=70%,R36&lt;=120%),R36*25%,R36&gt;120%,120%*25%))</f>
        <v>0.81973515203775982</v>
      </c>
      <c r="Y36" s="29">
        <f>X36*(W36)</f>
        <v>0</v>
      </c>
      <c r="AA36" s="35">
        <f>'Apuração Inicial'!X36</f>
        <v>0.81973515203775982</v>
      </c>
      <c r="AB36" s="36">
        <f t="shared" ref="AB36" si="26">X36</f>
        <v>0.81973515203775982</v>
      </c>
      <c r="AC36" s="37">
        <f t="shared" ref="AC36" si="27">AB36/AA36-1</f>
        <v>0</v>
      </c>
    </row>
    <row r="37" spans="1:32" x14ac:dyDescent="0.25">
      <c r="A37" t="s">
        <v>49</v>
      </c>
      <c r="B37" s="71">
        <v>8786132</v>
      </c>
      <c r="C37" s="66">
        <v>8459130.3800000008</v>
      </c>
      <c r="D37" s="64">
        <v>1.0024018546663442</v>
      </c>
      <c r="G37" s="67"/>
      <c r="I37" s="65">
        <v>253191</v>
      </c>
      <c r="J37" s="66">
        <v>299002.49</v>
      </c>
      <c r="K37" s="22">
        <v>0.9484649743222644</v>
      </c>
      <c r="L37" s="1">
        <v>0</v>
      </c>
      <c r="M37" s="1">
        <v>69</v>
      </c>
      <c r="N37" s="67"/>
      <c r="P37" s="65">
        <v>256440</v>
      </c>
      <c r="Q37" s="66">
        <v>504360.85</v>
      </c>
      <c r="R37" s="22">
        <v>1.3616445762811062</v>
      </c>
      <c r="S37" s="1">
        <v>0</v>
      </c>
      <c r="T37" s="1">
        <v>108</v>
      </c>
      <c r="U37" s="67"/>
      <c r="W37" s="62"/>
      <c r="Y37" s="61"/>
      <c r="AA37" s="68"/>
      <c r="AC37" s="69"/>
    </row>
    <row r="38" spans="1:32" x14ac:dyDescent="0.25">
      <c r="A38" t="s">
        <v>48</v>
      </c>
      <c r="B38" s="71">
        <v>7204584.6600000001</v>
      </c>
      <c r="C38" s="66">
        <v>8628262.5899999999</v>
      </c>
      <c r="D38" s="64">
        <v>0.86195941132666032</v>
      </c>
      <c r="G38" s="67"/>
      <c r="I38" s="65">
        <v>256128.18</v>
      </c>
      <c r="J38" s="66">
        <v>428149.62</v>
      </c>
      <c r="K38" s="22">
        <v>0.95596976621800345</v>
      </c>
      <c r="L38" s="1">
        <v>0</v>
      </c>
      <c r="M38" s="1">
        <v>73</v>
      </c>
      <c r="N38" s="67"/>
      <c r="P38" s="65">
        <v>234946.1</v>
      </c>
      <c r="Q38" s="66">
        <v>283088.61</v>
      </c>
      <c r="R38" s="22">
        <v>0.76844022634433684</v>
      </c>
      <c r="S38" s="1">
        <v>0</v>
      </c>
      <c r="T38" s="1">
        <v>88</v>
      </c>
      <c r="U38" s="67"/>
      <c r="W38" s="62"/>
      <c r="Y38" s="61"/>
      <c r="AA38" s="68"/>
      <c r="AC38" s="69"/>
    </row>
    <row r="39" spans="1:32" x14ac:dyDescent="0.25">
      <c r="A39" t="s">
        <v>47</v>
      </c>
      <c r="B39" s="65">
        <v>2503914.79</v>
      </c>
      <c r="C39" s="66">
        <v>5220329.6399999997</v>
      </c>
      <c r="D39" s="64">
        <f t="shared" ref="D39" si="28">IFERROR(C39/B39,0)</f>
        <v>2.0848671292045045</v>
      </c>
      <c r="G39" s="67"/>
      <c r="I39" s="65">
        <v>132706.26</v>
      </c>
      <c r="J39" s="66">
        <v>412183.82</v>
      </c>
      <c r="K39" s="64">
        <f t="shared" ref="K39" si="29">IFERROR(J39/I39,0)</f>
        <v>3.1059862586738558</v>
      </c>
      <c r="L39" s="1">
        <v>0</v>
      </c>
      <c r="M39" s="1">
        <v>36</v>
      </c>
      <c r="N39" s="67"/>
      <c r="P39" s="65">
        <v>27229.62</v>
      </c>
      <c r="Q39" s="66">
        <v>118337.1</v>
      </c>
      <c r="R39" s="64">
        <f t="shared" ref="R39" si="30">IFERROR(Q39/P39,0)</f>
        <v>4.3458961234126665</v>
      </c>
      <c r="S39" s="1">
        <v>0</v>
      </c>
      <c r="T39" s="1">
        <v>57</v>
      </c>
      <c r="U39" s="67"/>
      <c r="W39" s="62"/>
      <c r="Y39" s="61"/>
      <c r="AA39" s="68"/>
      <c r="AC39" s="69"/>
    </row>
    <row r="40" spans="1:32" x14ac:dyDescent="0.25">
      <c r="A40" s="20" t="s">
        <v>37</v>
      </c>
      <c r="B40" s="56">
        <f>SUM(B37:B39)</f>
        <v>18494631.449999999</v>
      </c>
      <c r="C40" s="57">
        <f>SUM(C37:C39)</f>
        <v>22307722.609999999</v>
      </c>
      <c r="D40" s="58">
        <f>IFERROR(C40/B40,0)</f>
        <v>1.2061728653695341</v>
      </c>
      <c r="E40" s="59">
        <f t="shared" ref="E40:F40" si="31">SUM(E37:E39)</f>
        <v>0</v>
      </c>
      <c r="F40" s="59">
        <f t="shared" si="31"/>
        <v>0</v>
      </c>
      <c r="G40" s="60">
        <f t="shared" ref="G40" si="32">IFERROR(F40/E40,0)</f>
        <v>0</v>
      </c>
      <c r="H40" s="4"/>
      <c r="I40" s="56">
        <f t="shared" ref="I40:J40" si="33">SUM(I37:I39)</f>
        <v>642025.43999999994</v>
      </c>
      <c r="J40" s="57">
        <f t="shared" si="33"/>
        <v>1139335.93</v>
      </c>
      <c r="K40" s="58">
        <f>IFERROR(J40/I40,0)</f>
        <v>1.7745962371833739</v>
      </c>
      <c r="L40" s="59">
        <f t="shared" ref="L40:M40" si="34">SUM(L37:L39)</f>
        <v>0</v>
      </c>
      <c r="M40" s="59">
        <f t="shared" si="34"/>
        <v>178</v>
      </c>
      <c r="N40" s="60">
        <f t="shared" ref="N40" si="35">IFERROR(M40/L40,0)</f>
        <v>0</v>
      </c>
      <c r="O40" s="4"/>
      <c r="P40" s="56">
        <f t="shared" ref="P40:Q40" si="36">SUM(P37:P39)</f>
        <v>518615.72</v>
      </c>
      <c r="Q40" s="57">
        <f t="shared" si="36"/>
        <v>905786.55999999994</v>
      </c>
      <c r="R40" s="58">
        <f>IFERROR(Q40/P40,0)</f>
        <v>1.7465466723607992</v>
      </c>
      <c r="S40" s="59">
        <f t="shared" ref="S40:T40" si="37">SUM(S37:S39)</f>
        <v>0</v>
      </c>
      <c r="T40" s="59">
        <f t="shared" si="37"/>
        <v>253</v>
      </c>
      <c r="U40" s="60">
        <f t="shared" ref="U40" si="38">IFERROR(T40/S40,0)</f>
        <v>0</v>
      </c>
      <c r="W40" s="25"/>
      <c r="X40" s="26" cm="1">
        <f t="array" ref="X40">(_xlfn.IFS(D40&lt;70%,0,AND(D40&gt;=70%,D40&lt;=120%),D40*60%,D40&gt;120%,120%*60%))+(_xlfn.IFS(K40&lt;70%,0,AND(K40&gt;=70%,K40&lt;=120%),K40*15%,K40&gt;120%,120%*15%))+(_xlfn.IFS(R40&lt;70%,0,AND(R40&gt;=70%,R40&lt;=120%),R40*25%,R40&gt;120%,120%*25%))</f>
        <v>1.2</v>
      </c>
      <c r="Y40" s="30">
        <f>X40*(W40)</f>
        <v>0</v>
      </c>
      <c r="AA40" s="39">
        <f>'Apuração Inicial'!X40</f>
        <v>1.0726260805475338</v>
      </c>
      <c r="AB40" s="40">
        <f t="shared" ref="AB40" si="39">X40</f>
        <v>1.2</v>
      </c>
      <c r="AC40" s="41">
        <f t="shared" ref="AC40" si="40">AB40/AA40-1</f>
        <v>0.11874960134052182</v>
      </c>
      <c r="AF40" t="s">
        <v>57</v>
      </c>
    </row>
    <row r="41" spans="1:32" x14ac:dyDescent="0.25">
      <c r="B41" s="16"/>
      <c r="C41" s="16"/>
      <c r="D41" s="22"/>
      <c r="E41" s="31"/>
      <c r="F41" s="31"/>
      <c r="G41" s="22"/>
      <c r="I41" s="16"/>
      <c r="J41" s="16"/>
      <c r="K41" s="22"/>
      <c r="L41" s="31"/>
      <c r="M41" s="31"/>
      <c r="N41" s="22"/>
      <c r="P41" s="16"/>
      <c r="Q41" s="16"/>
      <c r="R41" s="22"/>
      <c r="S41" s="31"/>
      <c r="T41" s="31"/>
      <c r="U41" s="22"/>
      <c r="X41" s="43"/>
      <c r="Y41" s="44"/>
    </row>
    <row r="42" spans="1:32" x14ac:dyDescent="0.25">
      <c r="A42" s="2"/>
      <c r="B42" s="146" t="s">
        <v>16</v>
      </c>
      <c r="C42" s="147"/>
      <c r="D42" s="148"/>
      <c r="E42" s="4"/>
      <c r="F42" s="4"/>
      <c r="G42" s="4"/>
      <c r="H42" s="4"/>
      <c r="I42" s="149" t="s">
        <v>17</v>
      </c>
      <c r="J42" s="150"/>
      <c r="K42" s="151"/>
      <c r="L42" s="4"/>
      <c r="M42" s="4"/>
      <c r="N42" s="4"/>
      <c r="O42" s="4"/>
      <c r="P42" s="140" t="s">
        <v>18</v>
      </c>
      <c r="Q42" s="141"/>
      <c r="R42" s="142"/>
      <c r="S42" s="4"/>
      <c r="T42" s="4"/>
      <c r="U42" s="4"/>
      <c r="V42" s="3"/>
      <c r="W42" s="143" t="s">
        <v>20</v>
      </c>
      <c r="X42" s="144"/>
      <c r="Y42" s="145"/>
      <c r="AA42" s="134" t="s">
        <v>20</v>
      </c>
      <c r="AB42" s="135"/>
      <c r="AC42" s="136"/>
    </row>
    <row r="43" spans="1:32" x14ac:dyDescent="0.25">
      <c r="A43" s="21"/>
      <c r="B43" s="137" t="s">
        <v>14</v>
      </c>
      <c r="C43" s="138"/>
      <c r="D43" s="139"/>
      <c r="E43" s="4"/>
      <c r="F43" s="4"/>
      <c r="G43" s="4"/>
      <c r="H43" s="4"/>
      <c r="I43" s="137" t="s">
        <v>14</v>
      </c>
      <c r="J43" s="138"/>
      <c r="K43" s="139"/>
      <c r="L43" s="4"/>
      <c r="M43" s="4"/>
      <c r="N43" s="4"/>
      <c r="O43" s="4"/>
      <c r="P43" s="137" t="s">
        <v>14</v>
      </c>
      <c r="Q43" s="138"/>
      <c r="R43" s="139"/>
      <c r="S43" s="4"/>
      <c r="T43" s="4"/>
      <c r="U43" s="4"/>
      <c r="V43" s="3"/>
      <c r="W43" s="5"/>
      <c r="X43" s="6"/>
      <c r="Y43" s="7"/>
      <c r="AA43" s="5"/>
      <c r="AB43" s="6"/>
      <c r="AC43" s="7"/>
    </row>
    <row r="44" spans="1:32" x14ac:dyDescent="0.25">
      <c r="A44" s="20" t="s">
        <v>23</v>
      </c>
      <c r="B44" s="8" t="s">
        <v>11</v>
      </c>
      <c r="C44" s="9" t="s">
        <v>12</v>
      </c>
      <c r="D44" s="10" t="s">
        <v>13</v>
      </c>
      <c r="E44" s="4"/>
      <c r="F44" s="4"/>
      <c r="G44" s="4"/>
      <c r="H44" s="4"/>
      <c r="I44" s="8" t="s">
        <v>11</v>
      </c>
      <c r="J44" s="9" t="s">
        <v>12</v>
      </c>
      <c r="K44" s="10" t="s">
        <v>13</v>
      </c>
      <c r="L44" s="4"/>
      <c r="M44" s="4"/>
      <c r="N44" s="4"/>
      <c r="O44" s="4"/>
      <c r="P44" s="8" t="s">
        <v>11</v>
      </c>
      <c r="Q44" s="9" t="s">
        <v>12</v>
      </c>
      <c r="R44" s="10" t="s">
        <v>13</v>
      </c>
      <c r="S44" s="4"/>
      <c r="T44" s="4"/>
      <c r="U44" s="4"/>
      <c r="V44" s="3"/>
      <c r="W44" s="8" t="s">
        <v>1</v>
      </c>
      <c r="X44" s="9" t="s">
        <v>19</v>
      </c>
      <c r="Y44" s="10" t="s">
        <v>20</v>
      </c>
      <c r="AA44" s="8" t="s">
        <v>21</v>
      </c>
      <c r="AB44" s="9" t="s">
        <v>22</v>
      </c>
      <c r="AC44" s="10" t="s">
        <v>13</v>
      </c>
    </row>
    <row r="45" spans="1:32" x14ac:dyDescent="0.25">
      <c r="A45" t="s">
        <v>7</v>
      </c>
      <c r="B45" s="15">
        <f t="shared" ref="B45:C48" si="41">SUM(B$4:B$23)</f>
        <v>9305605.120000001</v>
      </c>
      <c r="C45" s="16">
        <f t="shared" si="41"/>
        <v>9789641.8786729947</v>
      </c>
      <c r="D45" s="12">
        <f t="shared" ref="D45:D48" si="42">IFERROR(C45/B45,0)</f>
        <v>1.0520156134320251</v>
      </c>
      <c r="E45" s="31"/>
      <c r="F45" s="31"/>
      <c r="G45" s="22"/>
      <c r="I45" s="15">
        <f t="shared" ref="I45:J48" si="43">SUM(I$4:I$23)</f>
        <v>676291.2300000001</v>
      </c>
      <c r="J45" s="16">
        <f t="shared" si="43"/>
        <v>774949.82625699998</v>
      </c>
      <c r="K45" s="12">
        <f t="shared" ref="K45:K48" si="44">IFERROR(J45/I45,0)</f>
        <v>1.1458818211453072</v>
      </c>
      <c r="L45" s="31"/>
      <c r="M45" s="31"/>
      <c r="N45" s="22"/>
      <c r="P45" s="15">
        <f t="shared" ref="P45:Q48" si="45">SUM(P$4:P$23)</f>
        <v>380511.45999999996</v>
      </c>
      <c r="Q45" s="16">
        <f t="shared" si="45"/>
        <v>413085.13930999988</v>
      </c>
      <c r="R45" s="12">
        <f t="shared" ref="R45:R48" si="46">IFERROR(Q45/P45,0)</f>
        <v>1.0856049889009911</v>
      </c>
      <c r="S45" s="31"/>
      <c r="T45" s="31"/>
      <c r="U45" s="22"/>
      <c r="W45" s="23"/>
      <c r="X45" s="24" cm="1">
        <f t="array" ref="X45">(_xlfn.IFS(D45&lt;70%,0,AND(D45&gt;=70%,D45&lt;=120%),D45*60%,D45&gt;120%,120%*60%))+(_xlfn.IFS(K45&lt;70%,0,AND(K45&gt;=70%,K45&lt;=120%),K45*15%,K45&gt;120%,120%*15%))+(_xlfn.IFS(R45&lt;70%,0,AND(R45&gt;=70%,R45&lt;=120%),R45*25%,R45&gt;120%,120%*25%))</f>
        <v>1.0744928884562588</v>
      </c>
      <c r="Y45" s="29">
        <f>X45*(W45/4)</f>
        <v>0</v>
      </c>
      <c r="AA45" s="35">
        <f>'Apuração Inicial'!X45</f>
        <v>1.0677614590787274</v>
      </c>
      <c r="AB45" s="36">
        <f t="shared" ref="AB45:AB48" si="47">X45</f>
        <v>1.0744928884562588</v>
      </c>
      <c r="AC45" s="37">
        <f t="shared" ref="AC45:AC48" si="48">AB45/AA45-1</f>
        <v>6.3042445672643055E-3</v>
      </c>
    </row>
    <row r="46" spans="1:32" x14ac:dyDescent="0.25">
      <c r="A46" t="s">
        <v>43</v>
      </c>
      <c r="B46" s="15">
        <f t="shared" si="41"/>
        <v>9305605.120000001</v>
      </c>
      <c r="C46" s="16">
        <f t="shared" si="41"/>
        <v>9789641.8786729947</v>
      </c>
      <c r="D46" s="12">
        <f t="shared" si="42"/>
        <v>1.0520156134320251</v>
      </c>
      <c r="I46" s="15">
        <f t="shared" si="43"/>
        <v>676291.2300000001</v>
      </c>
      <c r="J46" s="16">
        <f t="shared" si="43"/>
        <v>774949.82625699998</v>
      </c>
      <c r="K46" s="12">
        <f t="shared" si="44"/>
        <v>1.1458818211453072</v>
      </c>
      <c r="P46" s="15">
        <f t="shared" si="45"/>
        <v>380511.45999999996</v>
      </c>
      <c r="Q46" s="16">
        <f t="shared" si="45"/>
        <v>413085.13930999988</v>
      </c>
      <c r="R46" s="12">
        <f t="shared" si="46"/>
        <v>1.0856049889009911</v>
      </c>
      <c r="U46" s="42"/>
      <c r="W46" s="23"/>
      <c r="X46" s="24" cm="1">
        <f t="array" ref="X46">(_xlfn.IFS(D46&lt;70%,0,AND(D46&gt;=70%,D46&lt;=120%),D46*60%,D46&gt;120%,120%*60%))+(_xlfn.IFS(K46&lt;70%,0,AND(K46&gt;=70%,K46&lt;=120%),K46*15%,K46&gt;120%,120%*15%))+(_xlfn.IFS(R46&lt;70%,0,AND(R46&gt;=70%,R46&lt;=120%),R46*25%,R46&gt;120%,120%*25%))</f>
        <v>1.0744928884562588</v>
      </c>
      <c r="Y46" s="29">
        <f>X46*(W46/4)</f>
        <v>0</v>
      </c>
      <c r="AA46" s="35">
        <f>'Apuração Inicial'!X46</f>
        <v>1.0677614590787274</v>
      </c>
      <c r="AB46" s="36">
        <f t="shared" si="47"/>
        <v>1.0744928884562588</v>
      </c>
      <c r="AC46" s="37">
        <f t="shared" si="48"/>
        <v>6.3042445672643055E-3</v>
      </c>
    </row>
    <row r="47" spans="1:32" x14ac:dyDescent="0.25">
      <c r="A47" t="s">
        <v>38</v>
      </c>
      <c r="B47" s="15">
        <f t="shared" si="41"/>
        <v>9305605.120000001</v>
      </c>
      <c r="C47" s="16">
        <f t="shared" si="41"/>
        <v>9789641.8786729947</v>
      </c>
      <c r="D47" s="12">
        <f t="shared" si="42"/>
        <v>1.0520156134320251</v>
      </c>
      <c r="I47" s="15">
        <f t="shared" si="43"/>
        <v>676291.2300000001</v>
      </c>
      <c r="J47" s="16">
        <f t="shared" si="43"/>
        <v>774949.82625699998</v>
      </c>
      <c r="K47" s="12">
        <f t="shared" si="44"/>
        <v>1.1458818211453072</v>
      </c>
      <c r="P47" s="15">
        <f t="shared" si="45"/>
        <v>380511.45999999996</v>
      </c>
      <c r="Q47" s="16">
        <f t="shared" si="45"/>
        <v>413085.13930999988</v>
      </c>
      <c r="R47" s="12">
        <f t="shared" si="46"/>
        <v>1.0856049889009911</v>
      </c>
      <c r="U47" s="42"/>
      <c r="W47" s="23"/>
      <c r="X47" s="24" cm="1">
        <f t="array" ref="X47">(_xlfn.IFS(D47&lt;70%,0,AND(D47&gt;=70%,D47&lt;=120%),D47*60%,D47&gt;120%,120%*60%))+(_xlfn.IFS(K47&lt;70%,0,AND(K47&gt;=70%,K47&lt;=120%),K47*15%,K47&gt;120%,120%*15%))+(_xlfn.IFS(R47&lt;70%,0,AND(R47&gt;=70%,R47&lt;=120%),R47*25%,R47&gt;120%,120%*25%))</f>
        <v>1.0744928884562588</v>
      </c>
      <c r="Y47" s="29">
        <f>X47*(W47/4)</f>
        <v>0</v>
      </c>
      <c r="AA47" s="35">
        <f>'Apuração Inicial'!X47</f>
        <v>1.0677614590787274</v>
      </c>
      <c r="AB47" s="36">
        <f t="shared" si="47"/>
        <v>1.0744928884562588</v>
      </c>
      <c r="AC47" s="37">
        <f t="shared" si="48"/>
        <v>6.3042445672643055E-3</v>
      </c>
    </row>
    <row r="48" spans="1:32" x14ac:dyDescent="0.25">
      <c r="A48" t="s">
        <v>31</v>
      </c>
      <c r="B48" s="17">
        <f t="shared" si="41"/>
        <v>9305605.120000001</v>
      </c>
      <c r="C48" s="18">
        <f t="shared" si="41"/>
        <v>9789641.8786729947</v>
      </c>
      <c r="D48" s="14">
        <f t="shared" si="42"/>
        <v>1.0520156134320251</v>
      </c>
      <c r="I48" s="17">
        <f t="shared" si="43"/>
        <v>676291.2300000001</v>
      </c>
      <c r="J48" s="18">
        <f t="shared" si="43"/>
        <v>774949.82625699998</v>
      </c>
      <c r="K48" s="14">
        <f t="shared" si="44"/>
        <v>1.1458818211453072</v>
      </c>
      <c r="P48" s="17">
        <f t="shared" si="45"/>
        <v>380511.45999999996</v>
      </c>
      <c r="Q48" s="18">
        <f t="shared" si="45"/>
        <v>413085.13930999988</v>
      </c>
      <c r="R48" s="14">
        <f t="shared" si="46"/>
        <v>1.0856049889009911</v>
      </c>
      <c r="U48" s="42"/>
      <c r="W48" s="25"/>
      <c r="X48" s="26" cm="1">
        <f t="array" ref="X48">(_xlfn.IFS(D48&lt;70%,0,AND(D48&gt;=70%,D48&lt;=120%),D48*60%,D48&gt;120%,120%*60%))+(_xlfn.IFS(K48&lt;70%,0,AND(K48&gt;=70%,K48&lt;=120%),K48*15%,K48&gt;120%,120%*15%))+(_xlfn.IFS(R48&lt;70%,0,AND(R48&gt;=70%,R48&lt;=120%),R48*25%,R48&gt;120%,120%*25%))</f>
        <v>1.0744928884562588</v>
      </c>
      <c r="Y48" s="30">
        <f>X48*(W48/4)</f>
        <v>0</v>
      </c>
      <c r="AA48" s="39">
        <f>'Apuração Inicial'!X48</f>
        <v>1.0677614590787274</v>
      </c>
      <c r="AB48" s="40">
        <f t="shared" si="47"/>
        <v>1.0744928884562588</v>
      </c>
      <c r="AC48" s="41">
        <f t="shared" si="48"/>
        <v>6.3042445672643055E-3</v>
      </c>
    </row>
    <row r="49" spans="1:29" x14ac:dyDescent="0.25">
      <c r="P49" s="1"/>
      <c r="Q49" s="1"/>
      <c r="R49" s="1"/>
      <c r="U49" s="1"/>
    </row>
    <row r="50" spans="1:29" x14ac:dyDescent="0.25">
      <c r="A50" s="2"/>
      <c r="B50" s="152" t="s">
        <v>16</v>
      </c>
      <c r="C50" s="153"/>
      <c r="D50" s="154"/>
      <c r="E50" s="4"/>
      <c r="F50" s="4"/>
      <c r="G50" s="4"/>
      <c r="H50" s="4"/>
      <c r="I50" s="155" t="s">
        <v>17</v>
      </c>
      <c r="J50" s="156"/>
      <c r="K50" s="157"/>
      <c r="L50" s="4"/>
      <c r="M50" s="4"/>
      <c r="N50" s="4"/>
      <c r="O50" s="4"/>
      <c r="P50" s="158" t="s">
        <v>18</v>
      </c>
      <c r="Q50" s="159"/>
      <c r="R50" s="160"/>
      <c r="S50" s="4"/>
      <c r="T50" s="4"/>
      <c r="U50" s="4"/>
      <c r="V50" s="3"/>
      <c r="W50" s="134" t="s">
        <v>20</v>
      </c>
      <c r="X50" s="135"/>
      <c r="Y50" s="136"/>
      <c r="AA50" s="134" t="s">
        <v>20</v>
      </c>
      <c r="AB50" s="135"/>
      <c r="AC50" s="136"/>
    </row>
    <row r="51" spans="1:29" x14ac:dyDescent="0.25">
      <c r="A51" s="21"/>
      <c r="B51" s="137" t="s">
        <v>14</v>
      </c>
      <c r="C51" s="138"/>
      <c r="D51" s="139"/>
      <c r="E51" s="4"/>
      <c r="F51" s="4"/>
      <c r="G51" s="4"/>
      <c r="H51" s="4"/>
      <c r="I51" s="137" t="s">
        <v>14</v>
      </c>
      <c r="J51" s="138"/>
      <c r="K51" s="139"/>
      <c r="L51" s="4"/>
      <c r="M51" s="4"/>
      <c r="N51" s="4"/>
      <c r="O51" s="4"/>
      <c r="P51" s="137" t="s">
        <v>14</v>
      </c>
      <c r="Q51" s="138"/>
      <c r="R51" s="139"/>
      <c r="S51" s="4"/>
      <c r="T51" s="4"/>
      <c r="U51" s="4"/>
      <c r="V51" s="3"/>
      <c r="W51" s="5"/>
      <c r="X51" s="6"/>
      <c r="Y51" s="7"/>
      <c r="AA51" s="5"/>
      <c r="AB51" s="6"/>
      <c r="AC51" s="7"/>
    </row>
    <row r="52" spans="1:29" x14ac:dyDescent="0.25">
      <c r="A52" s="20" t="s">
        <v>26</v>
      </c>
      <c r="B52" s="8" t="s">
        <v>11</v>
      </c>
      <c r="C52" s="9" t="s">
        <v>12</v>
      </c>
      <c r="D52" s="10" t="s">
        <v>13</v>
      </c>
      <c r="E52" s="4"/>
      <c r="F52" s="4"/>
      <c r="G52" s="4"/>
      <c r="H52" s="4"/>
      <c r="I52" s="8" t="s">
        <v>11</v>
      </c>
      <c r="J52" s="9" t="s">
        <v>12</v>
      </c>
      <c r="K52" s="10" t="s">
        <v>13</v>
      </c>
      <c r="L52" s="4"/>
      <c r="M52" s="4"/>
      <c r="N52" s="4"/>
      <c r="O52" s="4"/>
      <c r="P52" s="8" t="s">
        <v>11</v>
      </c>
      <c r="Q52" s="9" t="s">
        <v>12</v>
      </c>
      <c r="R52" s="10" t="s">
        <v>13</v>
      </c>
      <c r="S52" s="4"/>
      <c r="T52" s="4"/>
      <c r="U52" s="4"/>
      <c r="V52" s="3"/>
      <c r="W52" s="8" t="s">
        <v>1</v>
      </c>
      <c r="X52" s="9" t="s">
        <v>19</v>
      </c>
      <c r="Y52" s="10" t="s">
        <v>20</v>
      </c>
      <c r="AA52" s="8" t="s">
        <v>21</v>
      </c>
      <c r="AB52" s="9" t="s">
        <v>22</v>
      </c>
      <c r="AC52" s="10" t="s">
        <v>13</v>
      </c>
    </row>
    <row r="53" spans="1:29" x14ac:dyDescent="0.25">
      <c r="A53" t="s">
        <v>27</v>
      </c>
      <c r="B53" s="15">
        <f t="shared" ref="B53:C56" si="49">SUM(B$4:B$23)</f>
        <v>9305605.120000001</v>
      </c>
      <c r="C53" s="16">
        <f t="shared" si="49"/>
        <v>9789641.8786729947</v>
      </c>
      <c r="D53" s="12">
        <f t="shared" ref="D53:D56" si="50">IFERROR(C53/B53,0)</f>
        <v>1.0520156134320251</v>
      </c>
      <c r="E53" s="31"/>
      <c r="F53" s="31"/>
      <c r="G53" s="22"/>
      <c r="I53" s="15">
        <f t="shared" ref="I53:J56" si="51">SUM(I$4:I$23)</f>
        <v>676291.2300000001</v>
      </c>
      <c r="J53" s="16">
        <f t="shared" si="51"/>
        <v>774949.82625699998</v>
      </c>
      <c r="K53" s="12">
        <f t="shared" ref="K53:K56" si="52">IFERROR(J53/I53,0)</f>
        <v>1.1458818211453072</v>
      </c>
      <c r="L53" s="31"/>
      <c r="M53" s="31"/>
      <c r="N53" s="22"/>
      <c r="P53" s="15">
        <f t="shared" ref="P53:Q56" si="53">SUM(P$4:P$23)</f>
        <v>380511.45999999996</v>
      </c>
      <c r="Q53" s="16">
        <f t="shared" si="53"/>
        <v>413085.13930999988</v>
      </c>
      <c r="R53" s="12">
        <f>IFERROR(Q53/P53,0)</f>
        <v>1.0856049889009911</v>
      </c>
      <c r="S53" s="31"/>
      <c r="T53" s="31"/>
      <c r="U53" s="22"/>
      <c r="W53" s="23"/>
      <c r="X53" s="24" cm="1">
        <f t="array" ref="X53">(_xlfn.IFS(D53&lt;70%,0,AND(D53&gt;=70%,D53&lt;=120%),D53*60%,D53&gt;120%,120%*60%))+(_xlfn.IFS(K53&lt;70%,0,AND(K53&gt;=70%,K53&lt;=120%),K53*15%,K53&gt;120%,120%*15%))+(_xlfn.IFS(R53&lt;70%,0,AND(R53&gt;=70%,R53&lt;=120%),R53*25%,R53&gt;120%,120%*25%))</f>
        <v>1.0744928884562588</v>
      </c>
      <c r="Y53" s="29">
        <f>X53*(W53*0.15)</f>
        <v>0</v>
      </c>
      <c r="AA53" s="35">
        <f>'Apuração Inicial'!X53</f>
        <v>1.0677614590787274</v>
      </c>
      <c r="AB53" s="36">
        <f t="shared" ref="AB53" si="54">X53</f>
        <v>1.0744928884562588</v>
      </c>
      <c r="AC53" s="37">
        <f t="shared" ref="AC53" si="55">AB53/AA53-1</f>
        <v>6.3042445672643055E-3</v>
      </c>
    </row>
    <row r="54" spans="1:29" x14ac:dyDescent="0.25">
      <c r="B54" s="15">
        <f t="shared" si="49"/>
        <v>9305605.120000001</v>
      </c>
      <c r="C54" s="16">
        <f t="shared" si="49"/>
        <v>9789641.8786729947</v>
      </c>
      <c r="D54" s="12">
        <f t="shared" si="50"/>
        <v>1.0520156134320251</v>
      </c>
      <c r="E54" s="31"/>
      <c r="F54" s="31"/>
      <c r="G54" s="22"/>
      <c r="I54" s="15">
        <f t="shared" si="51"/>
        <v>676291.2300000001</v>
      </c>
      <c r="J54" s="16">
        <f t="shared" si="51"/>
        <v>774949.82625699998</v>
      </c>
      <c r="K54" s="12">
        <f t="shared" si="52"/>
        <v>1.1458818211453072</v>
      </c>
      <c r="L54" s="31"/>
      <c r="M54" s="31"/>
      <c r="N54" s="22"/>
      <c r="P54" s="15">
        <f t="shared" si="53"/>
        <v>380511.45999999996</v>
      </c>
      <c r="Q54" s="16">
        <f t="shared" si="53"/>
        <v>413085.13930999988</v>
      </c>
      <c r="R54" s="12">
        <f>IFERROR(Q54/P54,0)</f>
        <v>1.0856049889009911</v>
      </c>
      <c r="S54" s="31"/>
      <c r="T54" s="31"/>
      <c r="U54" s="22"/>
      <c r="W54" s="23"/>
      <c r="X54" s="24" cm="1">
        <f t="array" ref="X54">(_xlfn.IFS(D54&lt;70%,0,AND(D54&gt;=70%,D54&lt;=120%),D54*60%,D54&gt;120%,120%*60%))+(_xlfn.IFS(K54&lt;70%,0,AND(K54&gt;=70%,K54&lt;=120%),K54*15%,K54&gt;120%,120%*15%))+(_xlfn.IFS(R54&lt;70%,0,AND(R54&gt;=70%,R54&lt;=120%),R54*25%,R54&gt;120%,120%*25%))</f>
        <v>1.0744928884562588</v>
      </c>
      <c r="Y54" s="29">
        <f>X54*(W54*0.15)</f>
        <v>0</v>
      </c>
      <c r="AA54" s="35">
        <f>'Apuração Inicial'!X54</f>
        <v>1.0677614590787274</v>
      </c>
      <c r="AB54" s="36">
        <f t="shared" ref="AB54:AB56" si="56">X54</f>
        <v>1.0744928884562588</v>
      </c>
      <c r="AC54" s="37">
        <f t="shared" ref="AC54:AC56" si="57">AB54/AA54-1</f>
        <v>6.3042445672643055E-3</v>
      </c>
    </row>
    <row r="55" spans="1:29" x14ac:dyDescent="0.25">
      <c r="A55" t="s">
        <v>39</v>
      </c>
      <c r="B55" s="15">
        <f t="shared" si="49"/>
        <v>9305605.120000001</v>
      </c>
      <c r="C55" s="16">
        <f t="shared" si="49"/>
        <v>9789641.8786729947</v>
      </c>
      <c r="D55" s="12">
        <f t="shared" si="50"/>
        <v>1.0520156134320251</v>
      </c>
      <c r="E55" s="31"/>
      <c r="F55" s="31"/>
      <c r="G55" s="22"/>
      <c r="I55" s="15">
        <f t="shared" si="51"/>
        <v>676291.2300000001</v>
      </c>
      <c r="J55" s="16">
        <f t="shared" si="51"/>
        <v>774949.82625699998</v>
      </c>
      <c r="K55" s="12">
        <f t="shared" si="52"/>
        <v>1.1458818211453072</v>
      </c>
      <c r="L55" s="31"/>
      <c r="M55" s="31"/>
      <c r="N55" s="22"/>
      <c r="P55" s="15">
        <f t="shared" si="53"/>
        <v>380511.45999999996</v>
      </c>
      <c r="Q55" s="16">
        <f t="shared" si="53"/>
        <v>413085.13930999988</v>
      </c>
      <c r="R55" s="12">
        <f>IFERROR(Q55/P55,0)</f>
        <v>1.0856049889009911</v>
      </c>
      <c r="S55" s="31"/>
      <c r="T55" s="31"/>
      <c r="U55" s="22"/>
      <c r="W55" s="23"/>
      <c r="X55" s="24" cm="1">
        <f t="array" ref="X55">(_xlfn.IFS(D55&lt;70%,0,AND(D55&gt;=70%,D55&lt;=120%),D55*60%,D55&gt;120%,120%*60%))+(_xlfn.IFS(K55&lt;70%,0,AND(K55&gt;=70%,K55&lt;=120%),K55*15%,K55&gt;120%,120%*15%))+(_xlfn.IFS(R55&lt;70%,0,AND(R55&gt;=70%,R55&lt;=120%),R55*25%,R55&gt;120%,120%*25%))</f>
        <v>1.0744928884562588</v>
      </c>
      <c r="Y55" s="29">
        <f>X55*(W55*0.15)</f>
        <v>0</v>
      </c>
      <c r="AA55" s="35">
        <f>'Apuração Inicial'!X55</f>
        <v>1.0677614590787274</v>
      </c>
      <c r="AB55" s="36">
        <f t="shared" si="56"/>
        <v>1.0744928884562588</v>
      </c>
      <c r="AC55" s="37">
        <f t="shared" si="57"/>
        <v>6.3042445672643055E-3</v>
      </c>
    </row>
    <row r="56" spans="1:29" x14ac:dyDescent="0.25">
      <c r="A56" t="s">
        <v>28</v>
      </c>
      <c r="B56" s="17">
        <f t="shared" si="49"/>
        <v>9305605.120000001</v>
      </c>
      <c r="C56" s="18">
        <f t="shared" si="49"/>
        <v>9789641.8786729947</v>
      </c>
      <c r="D56" s="14">
        <f t="shared" si="50"/>
        <v>1.0520156134320251</v>
      </c>
      <c r="E56" s="31"/>
      <c r="F56" s="31"/>
      <c r="G56" s="22"/>
      <c r="I56" s="17">
        <f t="shared" si="51"/>
        <v>676291.2300000001</v>
      </c>
      <c r="J56" s="18">
        <f t="shared" si="51"/>
        <v>774949.82625699998</v>
      </c>
      <c r="K56" s="14">
        <f t="shared" si="52"/>
        <v>1.1458818211453072</v>
      </c>
      <c r="L56" s="31"/>
      <c r="M56" s="31"/>
      <c r="N56" s="22"/>
      <c r="P56" s="17">
        <f t="shared" si="53"/>
        <v>380511.45999999996</v>
      </c>
      <c r="Q56" s="18">
        <f t="shared" si="53"/>
        <v>413085.13930999988</v>
      </c>
      <c r="R56" s="14">
        <f t="shared" ref="R56" si="58">IFERROR(Q56/P56,0)</f>
        <v>1.0856049889009911</v>
      </c>
      <c r="S56" s="31"/>
      <c r="T56" s="31"/>
      <c r="U56" s="22"/>
      <c r="W56" s="25"/>
      <c r="X56" s="26" cm="1">
        <f t="array" ref="X56">(_xlfn.IFS(D56&lt;70%,0,AND(D56&gt;=70%,D56&lt;=120%),D56*60%,D56&gt;120%,120%*60%))+(_xlfn.IFS(K56&lt;70%,0,AND(K56&gt;=70%,K56&lt;=120%),K56*15%,K56&gt;120%,120%*15%))+(_xlfn.IFS(R56&lt;70%,0,AND(R56&gt;=70%,R56&lt;=120%),R56*25%,R56&gt;120%,120%*25%))</f>
        <v>1.0744928884562588</v>
      </c>
      <c r="Y56" s="30">
        <f>X56*(W56*0.15)</f>
        <v>0</v>
      </c>
      <c r="AA56" s="39">
        <f>'Apuração Inicial'!X56</f>
        <v>1.0677614590787274</v>
      </c>
      <c r="AB56" s="40">
        <f t="shared" si="56"/>
        <v>1.0744928884562588</v>
      </c>
      <c r="AC56" s="41">
        <f t="shared" si="57"/>
        <v>6.3042445672643055E-3</v>
      </c>
    </row>
    <row r="57" spans="1:29" x14ac:dyDescent="0.25">
      <c r="P57" s="1"/>
      <c r="Q57" s="1"/>
      <c r="R57" s="1"/>
      <c r="U57" s="1"/>
    </row>
    <row r="58" spans="1:29" x14ac:dyDescent="0.25">
      <c r="P58" s="1"/>
      <c r="Q58" s="1"/>
      <c r="R58" s="1"/>
      <c r="U58" s="1"/>
    </row>
    <row r="59" spans="1:29" x14ac:dyDescent="0.25">
      <c r="P59" s="1"/>
      <c r="Q59" s="1"/>
      <c r="R59" s="1"/>
      <c r="U59" s="1"/>
    </row>
  </sheetData>
  <sheetProtection selectLockedCells="1"/>
  <mergeCells count="49">
    <mergeCell ref="W42:Y42"/>
    <mergeCell ref="B50:D50"/>
    <mergeCell ref="I50:K50"/>
    <mergeCell ref="P50:R50"/>
    <mergeCell ref="W50:Y50"/>
    <mergeCell ref="L31:N31"/>
    <mergeCell ref="P31:R31"/>
    <mergeCell ref="S31:U31"/>
    <mergeCell ref="I30:N30"/>
    <mergeCell ref="B42:D42"/>
    <mergeCell ref="I42:K42"/>
    <mergeCell ref="P42:R42"/>
    <mergeCell ref="B51:D51"/>
    <mergeCell ref="I51:K51"/>
    <mergeCell ref="P51:R51"/>
    <mergeCell ref="AA25:AC25"/>
    <mergeCell ref="AA30:AC30"/>
    <mergeCell ref="AA42:AC42"/>
    <mergeCell ref="AA50:AC50"/>
    <mergeCell ref="B43:D43"/>
    <mergeCell ref="I43:K43"/>
    <mergeCell ref="P43:R43"/>
    <mergeCell ref="B30:G30"/>
    <mergeCell ref="P30:U30"/>
    <mergeCell ref="W30:Y30"/>
    <mergeCell ref="B31:D31"/>
    <mergeCell ref="E31:G31"/>
    <mergeCell ref="I31:K31"/>
    <mergeCell ref="S2:U2"/>
    <mergeCell ref="B2:D2"/>
    <mergeCell ref="E2:G2"/>
    <mergeCell ref="I2:K2"/>
    <mergeCell ref="L2:N2"/>
    <mergeCell ref="P2:R2"/>
    <mergeCell ref="AA1:AC1"/>
    <mergeCell ref="B1:G1"/>
    <mergeCell ref="I1:N1"/>
    <mergeCell ref="P1:U1"/>
    <mergeCell ref="W1:Y1"/>
    <mergeCell ref="W25:Y25"/>
    <mergeCell ref="B26:D26"/>
    <mergeCell ref="E26:G26"/>
    <mergeCell ref="I26:K26"/>
    <mergeCell ref="L26:N26"/>
    <mergeCell ref="P26:R26"/>
    <mergeCell ref="S26:U26"/>
    <mergeCell ref="B25:G25"/>
    <mergeCell ref="I25:N25"/>
    <mergeCell ref="P25:U25"/>
  </mergeCells>
  <conditionalFormatting sqref="AC4:AC2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5:AC4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3:AC56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73B73-FD33-4181-99CD-340EF90AAD01}">
  <dimension ref="A1:BR52"/>
  <sheetViews>
    <sheetView showGridLines="0" zoomScale="80" zoomScaleNormal="80" workbookViewId="0">
      <selection activeCell="BW13" sqref="BW13"/>
    </sheetView>
  </sheetViews>
  <sheetFormatPr defaultRowHeight="15" outlineLevelCol="1" x14ac:dyDescent="0.25"/>
  <cols>
    <col min="1" max="1" width="19.42578125" bestFit="1" customWidth="1"/>
    <col min="2" max="2" width="17.85546875" style="1" hidden="1" customWidth="1" outlineLevel="1"/>
    <col min="3" max="3" width="16.7109375" style="1" hidden="1" customWidth="1" outlineLevel="1"/>
    <col min="4" max="4" width="5.85546875" style="1" hidden="1" customWidth="1" outlineLevel="1"/>
    <col min="5" max="5" width="17.85546875" style="1" hidden="1" customWidth="1" outlineLevel="1"/>
    <col min="6" max="7" width="16.7109375" style="1" hidden="1" customWidth="1" outlineLevel="1"/>
    <col min="8" max="8" width="6" style="1" hidden="1" customWidth="1" outlineLevel="1"/>
    <col min="9" max="9" width="9.85546875" style="1" hidden="1" customWidth="1" outlineLevel="1"/>
    <col min="10" max="11" width="16.7109375" style="1" hidden="1" customWidth="1" outlineLevel="1"/>
    <col min="12" max="13" width="9.85546875" style="1" hidden="1" customWidth="1" outlineLevel="1"/>
    <col min="14" max="14" width="6" style="1" hidden="1" customWidth="1" outlineLevel="1"/>
    <col min="15" max="15" width="7" style="1" hidden="1" customWidth="1" outlineLevel="1"/>
    <col min="16" max="16" width="1.42578125" style="1" hidden="1" customWidth="1" outlineLevel="1"/>
    <col min="17" max="17" width="16.7109375" style="1" hidden="1" customWidth="1" outlineLevel="1"/>
    <col min="18" max="18" width="15.140625" style="1" hidden="1" customWidth="1" outlineLevel="1"/>
    <col min="19" max="19" width="5.85546875" style="1" hidden="1" customWidth="1" outlineLevel="1"/>
    <col min="20" max="20" width="16.7109375" style="113" hidden="1" customWidth="1" outlineLevel="1"/>
    <col min="21" max="22" width="15.140625" style="1" hidden="1" customWidth="1" outlineLevel="1"/>
    <col min="23" max="23" width="6" style="120" hidden="1" customWidth="1" outlineLevel="1"/>
    <col min="24" max="24" width="9.85546875" style="1" hidden="1" customWidth="1" outlineLevel="1"/>
    <col min="25" max="26" width="15.140625" style="1" hidden="1" customWidth="1" outlineLevel="1"/>
    <col min="27" max="28" width="9.85546875" style="1" hidden="1" customWidth="1" outlineLevel="1"/>
    <col min="29" max="29" width="7.140625" style="1" hidden="1" customWidth="1" outlineLevel="1"/>
    <col min="30" max="30" width="7" style="120" hidden="1" customWidth="1" outlineLevel="1"/>
    <col min="31" max="31" width="1.42578125" style="1" hidden="1" customWidth="1" outlineLevel="1"/>
    <col min="32" max="32" width="16.7109375" style="113" hidden="1" customWidth="1" outlineLevel="1"/>
    <col min="33" max="33" width="15.140625" style="1" hidden="1" customWidth="1" outlineLevel="1"/>
    <col min="34" max="34" width="5.85546875" style="1" hidden="1" customWidth="1" outlineLevel="1"/>
    <col min="35" max="35" width="16.7109375" style="113" hidden="1" customWidth="1" outlineLevel="1"/>
    <col min="36" max="37" width="15.140625" style="1" hidden="1" customWidth="1" outlineLevel="1"/>
    <col min="38" max="38" width="6" style="1" hidden="1" customWidth="1" outlineLevel="1"/>
    <col min="39" max="39" width="9.85546875" style="1" hidden="1" customWidth="1" outlineLevel="1"/>
    <col min="40" max="41" width="15.140625" style="1" hidden="1" customWidth="1" outlineLevel="1"/>
    <col min="42" max="43" width="9.85546875" style="1" hidden="1" customWidth="1" outlineLevel="1"/>
    <col min="44" max="44" width="6" style="1" hidden="1" customWidth="1" outlineLevel="1"/>
    <col min="45" max="45" width="7" style="1" hidden="1" customWidth="1" outlineLevel="1"/>
    <col min="46" max="46" width="1.42578125" style="1" hidden="1" customWidth="1" outlineLevel="1"/>
    <col min="47" max="48" width="12.85546875" style="1" hidden="1" customWidth="1" outlineLevel="1"/>
    <col min="49" max="49" width="10.42578125" style="1" hidden="1" customWidth="1" outlineLevel="1"/>
    <col min="50" max="50" width="10.28515625" style="1" hidden="1" customWidth="1" outlineLevel="1"/>
    <col min="51" max="53" width="11.28515625" style="1" hidden="1" customWidth="1" outlineLevel="1"/>
    <col min="54" max="54" width="1.42578125" style="1" hidden="1" customWidth="1" outlineLevel="1"/>
    <col min="55" max="55" width="12.85546875" style="1" hidden="1" customWidth="1" outlineLevel="1"/>
    <col min="56" max="56" width="1.42578125" style="1" hidden="1" customWidth="1" outlineLevel="1"/>
    <col min="57" max="57" width="12.7109375" style="1" hidden="1" customWidth="1" outlineLevel="1"/>
    <col min="58" max="58" width="11.5703125" style="1" hidden="1" customWidth="1" outlineLevel="1"/>
    <col min="59" max="59" width="1.42578125" style="1" hidden="1" customWidth="1" outlineLevel="1"/>
    <col min="60" max="60" width="12.7109375" style="1" hidden="1" customWidth="1" outlineLevel="1"/>
    <col min="61" max="61" width="11.5703125" style="1" hidden="1" customWidth="1" outlineLevel="1"/>
    <col min="62" max="62" width="1.42578125" style="1" hidden="1" customWidth="1" outlineLevel="1"/>
    <col min="63" max="63" width="12.7109375" style="1" hidden="1" customWidth="1" outlineLevel="1"/>
    <col min="64" max="64" width="11.5703125" style="1" hidden="1" customWidth="1" outlineLevel="1"/>
    <col min="65" max="65" width="1.42578125" style="1" customWidth="1" collapsed="1"/>
    <col min="66" max="66" width="13.28515625" style="1" bestFit="1" customWidth="1"/>
    <col min="67" max="67" width="12.85546875" style="1" bestFit="1" customWidth="1"/>
    <col min="68" max="68" width="13.28515625" style="1" hidden="1" customWidth="1"/>
    <col min="69" max="69" width="13.42578125" style="1" bestFit="1" customWidth="1"/>
    <col min="70" max="70" width="9.140625" style="1"/>
  </cols>
  <sheetData>
    <row r="1" spans="1:70" s="3" customFormat="1" x14ac:dyDescent="0.25">
      <c r="A1" s="2"/>
      <c r="B1" s="152" t="s">
        <v>16</v>
      </c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4"/>
      <c r="P1" s="4"/>
      <c r="Q1" s="155" t="s">
        <v>17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7"/>
      <c r="AE1" s="4"/>
      <c r="AF1" s="158" t="s">
        <v>18</v>
      </c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60"/>
      <c r="AT1" s="4"/>
      <c r="AU1" s="134" t="s">
        <v>20</v>
      </c>
      <c r="AV1" s="135"/>
      <c r="AW1" s="135"/>
      <c r="AX1" s="135"/>
      <c r="AY1" s="135"/>
      <c r="AZ1" s="135"/>
      <c r="BA1" s="136"/>
      <c r="BB1" s="4"/>
      <c r="BC1" s="74"/>
      <c r="BD1" s="1"/>
      <c r="BE1" s="75"/>
      <c r="BF1" s="76"/>
      <c r="BG1" s="1"/>
      <c r="BH1" s="75"/>
      <c r="BI1" s="76"/>
      <c r="BJ1" s="1"/>
      <c r="BK1" s="75"/>
      <c r="BL1" s="76"/>
      <c r="BM1" s="1"/>
      <c r="BN1" s="75"/>
      <c r="BO1" s="77"/>
      <c r="BP1" s="77"/>
      <c r="BQ1" s="76"/>
      <c r="BR1" s="4"/>
    </row>
    <row r="2" spans="1:70" s="4" customFormat="1" x14ac:dyDescent="0.25">
      <c r="A2" s="6"/>
      <c r="B2" s="137" t="s">
        <v>49</v>
      </c>
      <c r="C2" s="138"/>
      <c r="D2" s="138"/>
      <c r="E2" s="138"/>
      <c r="F2" s="138" t="s">
        <v>48</v>
      </c>
      <c r="G2" s="138"/>
      <c r="H2" s="138"/>
      <c r="I2" s="138"/>
      <c r="J2" s="138" t="s">
        <v>47</v>
      </c>
      <c r="K2" s="138"/>
      <c r="L2" s="138"/>
      <c r="M2" s="138"/>
      <c r="N2" s="138"/>
      <c r="O2" s="139"/>
      <c r="Q2" s="137" t="s">
        <v>49</v>
      </c>
      <c r="R2" s="138"/>
      <c r="S2" s="138"/>
      <c r="T2" s="138"/>
      <c r="U2" s="138" t="s">
        <v>48</v>
      </c>
      <c r="V2" s="138"/>
      <c r="W2" s="138"/>
      <c r="X2" s="138"/>
      <c r="Y2" s="138" t="s">
        <v>47</v>
      </c>
      <c r="Z2" s="138"/>
      <c r="AA2" s="138"/>
      <c r="AB2" s="138"/>
      <c r="AC2" s="138"/>
      <c r="AD2" s="139"/>
      <c r="AF2" s="137" t="s">
        <v>49</v>
      </c>
      <c r="AG2" s="138"/>
      <c r="AH2" s="138"/>
      <c r="AI2" s="138"/>
      <c r="AJ2" s="138" t="s">
        <v>48</v>
      </c>
      <c r="AK2" s="138"/>
      <c r="AL2" s="138"/>
      <c r="AM2" s="138"/>
      <c r="AN2" s="138" t="s">
        <v>47</v>
      </c>
      <c r="AO2" s="138"/>
      <c r="AP2" s="138"/>
      <c r="AQ2" s="138"/>
      <c r="AR2" s="138"/>
      <c r="AS2" s="139"/>
      <c r="AU2" s="5"/>
      <c r="AV2" s="6" t="s">
        <v>49</v>
      </c>
      <c r="AW2" s="6" t="s">
        <v>48</v>
      </c>
      <c r="AX2" s="6" t="s">
        <v>47</v>
      </c>
      <c r="AY2" s="6" t="s">
        <v>49</v>
      </c>
      <c r="AZ2" s="6" t="s">
        <v>48</v>
      </c>
      <c r="BA2" s="7" t="s">
        <v>47</v>
      </c>
      <c r="BC2" s="78" t="s">
        <v>44</v>
      </c>
      <c r="BD2" s="1"/>
      <c r="BE2" s="146" t="s">
        <v>16</v>
      </c>
      <c r="BF2" s="148"/>
      <c r="BH2" s="149" t="s">
        <v>17</v>
      </c>
      <c r="BI2" s="151"/>
      <c r="BK2" s="140" t="s">
        <v>18</v>
      </c>
      <c r="BL2" s="142"/>
      <c r="BN2" s="137" t="s">
        <v>20</v>
      </c>
      <c r="BO2" s="138"/>
      <c r="BP2" s="138"/>
      <c r="BQ2" s="139"/>
    </row>
    <row r="3" spans="1:70" s="4" customFormat="1" x14ac:dyDescent="0.25">
      <c r="A3" s="9" t="s">
        <v>0</v>
      </c>
      <c r="B3" s="8" t="s">
        <v>11</v>
      </c>
      <c r="C3" s="9" t="s">
        <v>12</v>
      </c>
      <c r="D3" s="9" t="s">
        <v>11</v>
      </c>
      <c r="E3" s="9" t="s">
        <v>12</v>
      </c>
      <c r="F3" s="9" t="s">
        <v>11</v>
      </c>
      <c r="G3" s="9" t="s">
        <v>12</v>
      </c>
      <c r="H3" s="9" t="s">
        <v>11</v>
      </c>
      <c r="I3" s="9" t="s">
        <v>12</v>
      </c>
      <c r="J3" s="9" t="s">
        <v>11</v>
      </c>
      <c r="K3" s="9" t="s">
        <v>12</v>
      </c>
      <c r="L3" s="9" t="s">
        <v>11</v>
      </c>
      <c r="M3" s="9" t="s">
        <v>12</v>
      </c>
      <c r="N3" s="9" t="s">
        <v>55</v>
      </c>
      <c r="O3" s="10" t="s">
        <v>56</v>
      </c>
      <c r="Q3" s="8" t="s">
        <v>11</v>
      </c>
      <c r="R3" s="9" t="s">
        <v>12</v>
      </c>
      <c r="S3" s="9" t="s">
        <v>11</v>
      </c>
      <c r="T3" s="9" t="s">
        <v>12</v>
      </c>
      <c r="U3" s="9" t="s">
        <v>11</v>
      </c>
      <c r="V3" s="9" t="s">
        <v>12</v>
      </c>
      <c r="W3" s="9" t="s">
        <v>11</v>
      </c>
      <c r="X3" s="9" t="s">
        <v>12</v>
      </c>
      <c r="Y3" s="9" t="s">
        <v>11</v>
      </c>
      <c r="Z3" s="9" t="s">
        <v>12</v>
      </c>
      <c r="AA3" s="9" t="s">
        <v>11</v>
      </c>
      <c r="AB3" s="9" t="s">
        <v>12</v>
      </c>
      <c r="AC3" s="9" t="s">
        <v>55</v>
      </c>
      <c r="AD3" s="10" t="s">
        <v>56</v>
      </c>
      <c r="AF3" s="8" t="s">
        <v>11</v>
      </c>
      <c r="AG3" s="9" t="s">
        <v>12</v>
      </c>
      <c r="AH3" s="9" t="s">
        <v>11</v>
      </c>
      <c r="AI3" s="9" t="s">
        <v>12</v>
      </c>
      <c r="AJ3" s="9" t="s">
        <v>11</v>
      </c>
      <c r="AK3" s="9" t="s">
        <v>12</v>
      </c>
      <c r="AL3" s="9" t="s">
        <v>11</v>
      </c>
      <c r="AM3" s="9" t="s">
        <v>12</v>
      </c>
      <c r="AN3" s="9" t="s">
        <v>11</v>
      </c>
      <c r="AO3" s="9" t="s">
        <v>12</v>
      </c>
      <c r="AP3" s="9" t="s">
        <v>11</v>
      </c>
      <c r="AQ3" s="9" t="s">
        <v>12</v>
      </c>
      <c r="AR3" s="9" t="s">
        <v>55</v>
      </c>
      <c r="AS3" s="10" t="s">
        <v>56</v>
      </c>
      <c r="AU3" s="8" t="s">
        <v>1</v>
      </c>
      <c r="AV3" s="161" t="s">
        <v>19</v>
      </c>
      <c r="AW3" s="161"/>
      <c r="AX3" s="161"/>
      <c r="AY3" s="161" t="s">
        <v>20</v>
      </c>
      <c r="AZ3" s="161"/>
      <c r="BA3" s="162"/>
      <c r="BC3" s="79"/>
      <c r="BD3" s="1"/>
      <c r="BE3" s="8" t="s">
        <v>14</v>
      </c>
      <c r="BF3" s="10" t="s">
        <v>15</v>
      </c>
      <c r="BH3" s="8" t="s">
        <v>14</v>
      </c>
      <c r="BI3" s="10" t="s">
        <v>15</v>
      </c>
      <c r="BK3" s="8" t="s">
        <v>14</v>
      </c>
      <c r="BL3" s="10" t="s">
        <v>15</v>
      </c>
      <c r="BM3" s="1"/>
      <c r="BN3" s="8" t="s">
        <v>1</v>
      </c>
      <c r="BO3" s="9" t="s">
        <v>19</v>
      </c>
      <c r="BP3" s="9" t="s">
        <v>45</v>
      </c>
      <c r="BQ3" s="10" t="s">
        <v>46</v>
      </c>
    </row>
    <row r="4" spans="1:70" x14ac:dyDescent="0.25">
      <c r="A4" t="s">
        <v>51</v>
      </c>
      <c r="B4" s="114">
        <v>0</v>
      </c>
      <c r="C4" s="126">
        <v>0</v>
      </c>
      <c r="D4" s="49">
        <v>0</v>
      </c>
      <c r="E4" s="49">
        <v>0</v>
      </c>
      <c r="F4" s="126">
        <v>481720.58</v>
      </c>
      <c r="G4" s="126">
        <v>291329.66963900032</v>
      </c>
      <c r="H4" s="49">
        <v>97</v>
      </c>
      <c r="I4" s="49">
        <v>48</v>
      </c>
      <c r="J4" s="126">
        <f>'Apuração Dezembro'!B4</f>
        <v>394321.3</v>
      </c>
      <c r="K4" s="126">
        <f>'Apuração Dezembro'!C4</f>
        <v>279502.88302400021</v>
      </c>
      <c r="L4" s="49">
        <f>'Apuração Dezembro'!E4</f>
        <v>73</v>
      </c>
      <c r="M4" s="49">
        <f>'Apuração Dezembro'!F4</f>
        <v>41</v>
      </c>
      <c r="N4" s="11">
        <f>'Apuração Dezembro'!D4</f>
        <v>0.70882015002486609</v>
      </c>
      <c r="O4" s="12">
        <f>'Apuração Dezembro'!G4</f>
        <v>0.56164383561643838</v>
      </c>
      <c r="P4" s="22"/>
      <c r="Q4" s="114">
        <v>0</v>
      </c>
      <c r="R4" s="126">
        <v>0</v>
      </c>
      <c r="S4" s="49">
        <v>0</v>
      </c>
      <c r="T4" s="49">
        <v>0</v>
      </c>
      <c r="U4" s="126">
        <v>68758.28</v>
      </c>
      <c r="V4" s="126">
        <v>33240.748098999982</v>
      </c>
      <c r="W4" s="125">
        <v>61</v>
      </c>
      <c r="X4" s="31">
        <v>39</v>
      </c>
      <c r="Y4" s="126">
        <f>'Apuração Dezembro'!I4</f>
        <v>38973.620000000003</v>
      </c>
      <c r="Z4" s="126">
        <f>'Apuração Dezembro'!J4</f>
        <v>30929.378072999993</v>
      </c>
      <c r="AA4" s="49">
        <f>'Apuração Dezembro'!L4</f>
        <v>44</v>
      </c>
      <c r="AB4" s="49">
        <f>'Apuração Dezembro'!M4</f>
        <v>36</v>
      </c>
      <c r="AC4" s="11">
        <f>'Apuração Dezembro'!K4</f>
        <v>0.79359777390450237</v>
      </c>
      <c r="AD4" s="12">
        <f>'Apuração Dezembro'!N4</f>
        <v>0.81818181818181823</v>
      </c>
      <c r="AE4" s="22"/>
      <c r="AF4" s="114">
        <v>0</v>
      </c>
      <c r="AG4" s="126">
        <v>0</v>
      </c>
      <c r="AH4" s="1">
        <v>0</v>
      </c>
      <c r="AI4" s="1">
        <v>0</v>
      </c>
      <c r="AJ4" s="126">
        <v>59725.18</v>
      </c>
      <c r="AK4" s="126">
        <v>15384.749999999993</v>
      </c>
      <c r="AL4" s="125">
        <v>58</v>
      </c>
      <c r="AM4" s="31">
        <v>29</v>
      </c>
      <c r="AN4" s="126">
        <f>'Apuração Dezembro'!P4</f>
        <v>25218.22</v>
      </c>
      <c r="AO4" s="126">
        <f>'Apuração Dezembro'!Q4</f>
        <v>22598.079999999994</v>
      </c>
      <c r="AP4" s="1">
        <f>'Apuração Dezembro'!S4</f>
        <v>18</v>
      </c>
      <c r="AQ4" s="31">
        <f>'Apuração Dezembro'!T4</f>
        <v>18</v>
      </c>
      <c r="AR4" s="42">
        <f>'Apuração Dezembro'!R4</f>
        <v>0.89610131087761125</v>
      </c>
      <c r="AS4" s="12">
        <f>'Apuração Dezembro'!U4</f>
        <v>1</v>
      </c>
      <c r="AU4" s="27">
        <f>BN4</f>
        <v>4100</v>
      </c>
      <c r="AV4" s="24">
        <v>0.79666312266766115</v>
      </c>
      <c r="AW4" s="24">
        <v>0.7</v>
      </c>
      <c r="AX4" s="24">
        <f>'Apuração Dezembro'!X4</f>
        <v>0.57054217827363518</v>
      </c>
      <c r="AY4" s="50">
        <f t="shared" ref="AY4" si="0">AV4*(AU4/2)</f>
        <v>1633.1594014687053</v>
      </c>
      <c r="AZ4" s="50">
        <f>AW4*(AU4/2)</f>
        <v>1435</v>
      </c>
      <c r="BA4" s="29">
        <f>AX4*(AU4/2)</f>
        <v>1169.6114654609521</v>
      </c>
      <c r="BC4" s="80">
        <f>SUM(AY4:BA4)</f>
        <v>4237.7708669296571</v>
      </c>
      <c r="BE4" s="81">
        <f>SUM(C4,G4,K4)/SUM(B4,F4,J4)</f>
        <v>0.65160418205463022</v>
      </c>
      <c r="BF4" s="12">
        <f>SUM(E4,I4,M4)/SUM(D4,H4,L4)</f>
        <v>0.52352941176470591</v>
      </c>
      <c r="BH4" s="81">
        <f>SUM(R4,V4,Z4)/SUM(Q4,U4,Y4)</f>
        <v>0.59564647214056354</v>
      </c>
      <c r="BI4" s="12">
        <f>SUM(T4,X4,AB4)/SUM(S4,W4,AA4)</f>
        <v>0.7142857142857143</v>
      </c>
      <c r="BK4" s="81">
        <f>SUM(AG4,AK4,AO4)/SUM(AF4,AJ4,AN4)</f>
        <v>0.44715457587052071</v>
      </c>
      <c r="BL4" s="12">
        <f>SUM(AI4,AM4,AQ4)/SUM(AH4,AL4,AP4)</f>
        <v>0.61842105263157898</v>
      </c>
      <c r="BN4" s="133">
        <v>4100</v>
      </c>
      <c r="BO4" s="24" cm="1">
        <f t="array" ref="BO4">(_xlfn.IFS(BE4&lt;70%,0,AND(BE4&gt;=70%,BE4&lt;=120%),BE4*30%,BE4&gt;120%,120%*30%))+(_xlfn.IFS(BF4&lt;70%,0,AND(BF4&gt;=70%,BF4&lt;=120%),BF4*30%,BF4&gt;120%,120%*30%))+(_xlfn.IFS(BH4&lt;70%,0,AND(BH4&gt;=70%,BH4&lt;=120%),BH4*7.5%,BH4&gt;120%,120%*7.5%))+(_xlfn.IFS(BI4&lt;70%,0,AND(BI4&gt;=70%,BI4&lt;=120%),BI4*7.5%,BI4&gt;120%,120%*7.5%))+(_xlfn.IFS(BK4&lt;70%,0,AND(BK4&gt;=70%,BK4&lt;=120%),BK4*12.5%,BK4&gt;120%,120%*12.5%))+(_xlfn.IFS(BL4&lt;70%,0,AND(BL4&gt;=70%,BL4&lt;=120%),BL4*12.5%,BL4&gt;120%,120%*12.5%))</f>
        <v>5.3571428571428568E-2</v>
      </c>
      <c r="BP4" s="50">
        <f>BO4*((BN4/2)*3)</f>
        <v>329.46428571428572</v>
      </c>
      <c r="BQ4" s="82">
        <f>IF(BP4&lt;BC4,BA4,BA4+BP4-BC4)</f>
        <v>1169.6114654609521</v>
      </c>
    </row>
    <row r="5" spans="1:70" x14ac:dyDescent="0.25">
      <c r="A5" t="s">
        <v>4</v>
      </c>
      <c r="B5" s="114">
        <v>2438486</v>
      </c>
      <c r="C5" s="126">
        <v>2577219.8354800004</v>
      </c>
      <c r="D5" s="49">
        <v>0</v>
      </c>
      <c r="E5" s="49">
        <v>62</v>
      </c>
      <c r="F5" s="126">
        <v>2159783.9400000004</v>
      </c>
      <c r="G5" s="126">
        <v>2288283.8643999994</v>
      </c>
      <c r="H5" s="127">
        <v>0</v>
      </c>
      <c r="I5" s="49">
        <v>64</v>
      </c>
      <c r="J5" s="126">
        <f>'Apuração Dezembro'!B5</f>
        <v>542000</v>
      </c>
      <c r="K5" s="126">
        <f>'Apuração Dezembro'!C5</f>
        <v>1207431.1595999997</v>
      </c>
      <c r="L5" s="49">
        <f>'Apuração Dezembro'!E5</f>
        <v>0</v>
      </c>
      <c r="M5" s="49">
        <f>'Apuração Dezembro'!F5</f>
        <v>48</v>
      </c>
      <c r="N5" s="11">
        <f>'Apuração Dezembro'!D5</f>
        <v>2.2277327667896674</v>
      </c>
      <c r="O5" s="12">
        <f>'Apuração Dezembro'!G5</f>
        <v>0</v>
      </c>
      <c r="P5" s="22"/>
      <c r="Q5" s="114">
        <v>82529</v>
      </c>
      <c r="R5" s="126">
        <v>99662.849999999977</v>
      </c>
      <c r="S5" s="49">
        <v>0</v>
      </c>
      <c r="T5" s="49">
        <v>24</v>
      </c>
      <c r="U5" s="126">
        <v>101189.58</v>
      </c>
      <c r="V5" s="126">
        <v>243936.72</v>
      </c>
      <c r="W5" s="125">
        <v>0</v>
      </c>
      <c r="X5" s="31">
        <v>25</v>
      </c>
      <c r="Y5" s="126">
        <f>'Apuração Dezembro'!I5</f>
        <v>3000</v>
      </c>
      <c r="Z5" s="126">
        <f>'Apuração Dezembro'!J5</f>
        <v>103388.62</v>
      </c>
      <c r="AA5" s="49">
        <f>'Apuração Dezembro'!L5</f>
        <v>0</v>
      </c>
      <c r="AB5" s="49">
        <f>'Apuração Dezembro'!M5</f>
        <v>10</v>
      </c>
      <c r="AC5" s="11">
        <f>'Apuração Dezembro'!K5</f>
        <v>34.462873333333334</v>
      </c>
      <c r="AD5" s="12">
        <f>'Apuração Dezembro'!N5</f>
        <v>0</v>
      </c>
      <c r="AE5" s="22"/>
      <c r="AF5" s="114">
        <v>105533</v>
      </c>
      <c r="AG5" s="126">
        <v>155101.61999999997</v>
      </c>
      <c r="AH5" s="1">
        <v>0</v>
      </c>
      <c r="AI5" s="1">
        <v>38</v>
      </c>
      <c r="AJ5" s="126">
        <v>89741.91</v>
      </c>
      <c r="AK5" s="126">
        <v>115242.36</v>
      </c>
      <c r="AL5" s="125">
        <v>0</v>
      </c>
      <c r="AM5" s="31">
        <v>26</v>
      </c>
      <c r="AN5" s="126">
        <f>'Apuração Dezembro'!P5</f>
        <v>9000</v>
      </c>
      <c r="AO5" s="126">
        <f>'Apuração Dezembro'!Q5</f>
        <v>23507.879999999997</v>
      </c>
      <c r="AP5" s="1">
        <f>'Apuração Dezembro'!S5</f>
        <v>0</v>
      </c>
      <c r="AQ5" s="31">
        <f>'Apuração Dezembro'!T5</f>
        <v>18</v>
      </c>
      <c r="AR5" s="42">
        <f>'Apuração Dezembro'!R5</f>
        <v>2.6119866666666662</v>
      </c>
      <c r="AS5" s="12">
        <f>'Apuração Dezembro'!U5</f>
        <v>0</v>
      </c>
      <c r="AU5" s="27">
        <f t="shared" ref="AU5:AU17" si="1">BN5</f>
        <v>8244.89</v>
      </c>
      <c r="AV5" s="24">
        <v>1.1141360587216822</v>
      </c>
      <c r="AW5" s="24">
        <v>1.1156979942354788</v>
      </c>
      <c r="AX5" s="24">
        <f>'Apuração Dezembro'!X5</f>
        <v>1.2</v>
      </c>
      <c r="AY5" s="50">
        <f t="shared" ref="AY5:AY20" si="2">AV5*(AU5/2)</f>
        <v>4592.9646245969052</v>
      </c>
      <c r="AZ5" s="50">
        <f t="shared" ref="AZ5:AZ19" si="3">AW5*(AU5/2)</f>
        <v>4599.4036178460783</v>
      </c>
      <c r="BA5" s="29">
        <f t="shared" ref="BA5:BA20" si="4">AX5*(AU5/2)</f>
        <v>4946.9339999999993</v>
      </c>
      <c r="BC5" s="80">
        <f>SUM(AY5:BA5)</f>
        <v>14139.302242442982</v>
      </c>
      <c r="BE5" s="81">
        <f t="shared" ref="BE5:BE21" si="5">SUM(C5,G5,K5)/SUM(B5,F5,J5)</f>
        <v>1.1814427900414894</v>
      </c>
      <c r="BF5" s="12" t="e">
        <f>SUM(E5,I5,M5)/SUM(D5,H5,L5)</f>
        <v>#DIV/0!</v>
      </c>
      <c r="BH5" s="81">
        <f t="shared" ref="BH5:BH21" si="6">SUM(R5,V5,Z5)/SUM(Q5,U5,Y5)</f>
        <v>2.393913824751666</v>
      </c>
      <c r="BI5" s="12" t="e">
        <f t="shared" ref="BI5:BI21" si="7">SUM(T5,X5,AB5)/SUM(S5,W5,AA5)</f>
        <v>#DIV/0!</v>
      </c>
      <c r="BK5" s="81">
        <f t="shared" ref="BK5:BK21" si="8">SUM(AG5,AK5,AO5)/SUM(AF5,AJ5,AN5)</f>
        <v>1.4385117584925138</v>
      </c>
      <c r="BL5" s="12" t="e">
        <f t="shared" ref="BL5:BL21" si="9">SUM(AI5,AM5,AQ5)/SUM(AH5,AL5,AP5)</f>
        <v>#DIV/0!</v>
      </c>
      <c r="BN5" s="133">
        <v>8244.89</v>
      </c>
      <c r="BO5" s="24" cm="1">
        <f t="array" ref="BO5">(_xlfn.IFS(BE5&lt;70%,0,AND(BE5&gt;=70%,BE5&lt;=120%),BE5*60%,BE5&gt;120%,120%*60%))+(_xlfn.IFS(BH5&lt;70%,0,AND(BH5&gt;=70%,BH5&lt;=120%),BH5*15%,BH5&gt;120%,120%*15%))+(_xlfn.IFS(BK5&lt;70%,0,AND(BK5&gt;=70%,BK5&lt;=120%),BK5*25%,BK5&gt;120%,120%*25%))</f>
        <v>1.1888656740248937</v>
      </c>
      <c r="BP5" s="50">
        <f t="shared" ref="BP5:BP19" si="10">BO5*((BN5/2)*3)</f>
        <v>14703.100060666658</v>
      </c>
      <c r="BQ5" s="82">
        <f>IF(BP5&lt;BC5,BA5,BA5+BP5-BC5)</f>
        <v>5510.7318182236759</v>
      </c>
    </row>
    <row r="6" spans="1:70" x14ac:dyDescent="0.25">
      <c r="A6" t="s">
        <v>10</v>
      </c>
      <c r="B6" s="114">
        <v>2053571.71</v>
      </c>
      <c r="C6" s="126">
        <v>1606167.5043610062</v>
      </c>
      <c r="D6" s="49">
        <v>168</v>
      </c>
      <c r="E6" s="49">
        <v>169</v>
      </c>
      <c r="F6" s="126">
        <v>1425762.31</v>
      </c>
      <c r="G6" s="126">
        <v>787983.44779500109</v>
      </c>
      <c r="H6" s="127">
        <v>159</v>
      </c>
      <c r="I6" s="49">
        <v>107</v>
      </c>
      <c r="J6" s="126">
        <f>'Apuração Dezembro'!B6</f>
        <v>432026.6</v>
      </c>
      <c r="K6" s="126">
        <f>'Apuração Dezembro'!C6</f>
        <v>314364.63836300006</v>
      </c>
      <c r="L6" s="49">
        <f>'Apuração Dezembro'!E6</f>
        <v>101</v>
      </c>
      <c r="M6" s="49">
        <f>'Apuração Dezembro'!F6</f>
        <v>66</v>
      </c>
      <c r="N6" s="11">
        <f>'Apuração Dezembro'!D6</f>
        <v>0.72765111769275337</v>
      </c>
      <c r="O6" s="12">
        <f>'Apuração Dezembro'!G6</f>
        <v>0.65346534653465349</v>
      </c>
      <c r="P6" s="22"/>
      <c r="Q6" s="114">
        <v>238051.07</v>
      </c>
      <c r="R6" s="126">
        <v>109923.9105579998</v>
      </c>
      <c r="S6" s="49">
        <v>102</v>
      </c>
      <c r="T6" s="49">
        <v>141</v>
      </c>
      <c r="U6" s="126">
        <v>115032.89</v>
      </c>
      <c r="V6" s="126">
        <v>63070.221419999885</v>
      </c>
      <c r="W6" s="125">
        <v>100</v>
      </c>
      <c r="X6" s="31">
        <v>87</v>
      </c>
      <c r="Y6" s="126">
        <f>'Apuração Dezembro'!I6</f>
        <v>42700.3</v>
      </c>
      <c r="Z6" s="126">
        <f>'Apuração Dezembro'!J6</f>
        <v>32749.269168999996</v>
      </c>
      <c r="AA6" s="49">
        <f>'Apuração Dezembro'!L6</f>
        <v>61</v>
      </c>
      <c r="AB6" s="49">
        <f>'Apuração Dezembro'!M6</f>
        <v>57</v>
      </c>
      <c r="AC6" s="11">
        <f>'Apuração Dezembro'!K6</f>
        <v>0.76695641878394283</v>
      </c>
      <c r="AD6" s="12">
        <f>'Apuração Dezembro'!N6</f>
        <v>0.93442622950819676</v>
      </c>
      <c r="AE6" s="22"/>
      <c r="AF6" s="114">
        <v>133570.64000000001</v>
      </c>
      <c r="AG6" s="126">
        <v>87613.434860000038</v>
      </c>
      <c r="AH6" s="1">
        <v>99</v>
      </c>
      <c r="AI6" s="1">
        <v>137</v>
      </c>
      <c r="AJ6" s="126">
        <v>91367.98</v>
      </c>
      <c r="AK6" s="126">
        <v>35826.829499999963</v>
      </c>
      <c r="AL6" s="125">
        <v>95</v>
      </c>
      <c r="AM6" s="31">
        <v>79</v>
      </c>
      <c r="AN6" s="126">
        <f>'Apuração Dezembro'!P6</f>
        <v>27629.61</v>
      </c>
      <c r="AO6" s="126">
        <f>'Apuração Dezembro'!Q6</f>
        <v>29853.140940000001</v>
      </c>
      <c r="AP6" s="1">
        <f>'Apuração Dezembro'!S6</f>
        <v>24</v>
      </c>
      <c r="AQ6" s="31">
        <f>'Apuração Dezembro'!T6</f>
        <v>50</v>
      </c>
      <c r="AR6" s="42">
        <f>'Apuração Dezembro'!R6</f>
        <v>1.0804763780596252</v>
      </c>
      <c r="AS6" s="12">
        <f>'Apuração Dezembro'!U6</f>
        <v>2.0833333333333335</v>
      </c>
      <c r="AU6" s="27">
        <f t="shared" si="1"/>
        <v>4402.87</v>
      </c>
      <c r="AV6" s="24">
        <v>0.77642580450603671</v>
      </c>
      <c r="AW6" s="24">
        <v>0.16919736842105265</v>
      </c>
      <c r="AX6" s="24">
        <f>'Apuração Dezembro'!X6</f>
        <v>0.63095858118718962</v>
      </c>
      <c r="AY6" s="50">
        <f t="shared" si="2"/>
        <v>1709.2509409427469</v>
      </c>
      <c r="AZ6" s="50">
        <f t="shared" si="3"/>
        <v>372.47700875000004</v>
      </c>
      <c r="BA6" s="29">
        <f t="shared" si="4"/>
        <v>1389.0143041758208</v>
      </c>
      <c r="BC6" s="80">
        <f t="shared" ref="BC6" si="11">SUM(AY6:BA6)</f>
        <v>3470.7422538685678</v>
      </c>
      <c r="BE6" s="81">
        <f t="shared" si="5"/>
        <v>0.6924740144566387</v>
      </c>
      <c r="BF6" s="12">
        <f t="shared" ref="BF6:BF21" si="12">SUM(E6,I6,M6)/SUM(D6,H6,L6)</f>
        <v>0.7990654205607477</v>
      </c>
      <c r="BH6" s="81">
        <f t="shared" si="6"/>
        <v>0.51983724958390132</v>
      </c>
      <c r="BI6" s="12">
        <f t="shared" si="7"/>
        <v>1.0836501901140685</v>
      </c>
      <c r="BK6" s="81">
        <f t="shared" si="8"/>
        <v>0.60693858962388114</v>
      </c>
      <c r="BL6" s="12">
        <f t="shared" si="9"/>
        <v>1.2201834862385321</v>
      </c>
      <c r="BN6" s="133">
        <v>4402.87</v>
      </c>
      <c r="BO6" s="24" cm="1">
        <f t="array" ref="BO6">(_xlfn.IFS(BE6&lt;70%,0,AND(BE6&gt;=70%,BE6&lt;=120%),BE6*30%,BE6&gt;120%,120%*30%))+(_xlfn.IFS(BF6&lt;70%,0,AND(BF6&gt;=70%,BF6&lt;=120%),BF6*30%,BF6&gt;120%,120%*30%))+(_xlfn.IFS(BH6&lt;70%,0,AND(BH6&gt;=70%,BH6&lt;=120%),BH6*7.5%,BH6&gt;120%,120%*7.5%))+(_xlfn.IFS(BI6&lt;70%,0,AND(BI6&gt;=70%,BI6&lt;=120%),BI6*7.5%,BI6&gt;120%,120%*7.5%))+(_xlfn.IFS(BK6&lt;70%,0,AND(BK6&gt;=70%,BK6&lt;=120%),BK6*12.5%,BK6&gt;120%,120%*12.5%))+(_xlfn.IFS(BL6&lt;70%,0,AND(BL6&gt;=70%,BL6&lt;=120%),BL6*12.5%,BL6&gt;120%,120%*12.5%))</f>
        <v>0.47099339042677946</v>
      </c>
      <c r="BP6" s="50">
        <f t="shared" si="10"/>
        <v>3110.5840033625318</v>
      </c>
      <c r="BQ6" s="82">
        <f t="shared" ref="BQ6:BQ19" si="13">IF(BP6&lt;BC6,BA6,BA6+BP6-BC6)</f>
        <v>1389.0143041758208</v>
      </c>
    </row>
    <row r="7" spans="1:70" x14ac:dyDescent="0.25">
      <c r="A7" t="s">
        <v>33</v>
      </c>
      <c r="B7" s="114">
        <v>1098879.1599999999</v>
      </c>
      <c r="C7" s="126">
        <v>1143970.9353070003</v>
      </c>
      <c r="D7" s="49">
        <v>128</v>
      </c>
      <c r="E7" s="49">
        <v>104</v>
      </c>
      <c r="F7" s="126">
        <v>916964.18</v>
      </c>
      <c r="G7" s="126">
        <v>934136.70882600057</v>
      </c>
      <c r="H7" s="127">
        <v>119</v>
      </c>
      <c r="I7" s="49">
        <v>70</v>
      </c>
      <c r="J7" s="126">
        <f>'Apuração Dezembro'!B7</f>
        <v>513488.95000000007</v>
      </c>
      <c r="K7" s="126">
        <f>'Apuração Dezembro'!C7</f>
        <v>364641.67441799986</v>
      </c>
      <c r="L7" s="49">
        <f>'Apuração Dezembro'!E7</f>
        <v>92</v>
      </c>
      <c r="M7" s="49">
        <f>'Apuração Dezembro'!F7</f>
        <v>38</v>
      </c>
      <c r="N7" s="11">
        <f>'Apuração Dezembro'!D7</f>
        <v>0.7101256500612132</v>
      </c>
      <c r="O7" s="12">
        <f>'Apuração Dezembro'!G7</f>
        <v>0.41304347826086957</v>
      </c>
      <c r="P7" s="22"/>
      <c r="Q7" s="114">
        <v>152991.54999999999</v>
      </c>
      <c r="R7" s="126">
        <v>103699.86675499994</v>
      </c>
      <c r="S7" s="49">
        <v>74</v>
      </c>
      <c r="T7" s="49">
        <v>95</v>
      </c>
      <c r="U7" s="126">
        <v>84454.47</v>
      </c>
      <c r="V7" s="126">
        <v>103391.346106</v>
      </c>
      <c r="W7" s="125">
        <v>75</v>
      </c>
      <c r="X7" s="31">
        <v>62</v>
      </c>
      <c r="Y7" s="126">
        <f>'Apuração Dezembro'!I7</f>
        <v>50751.820000000007</v>
      </c>
      <c r="Z7" s="126">
        <f>'Apuração Dezembro'!J7</f>
        <v>41738.756899</v>
      </c>
      <c r="AA7" s="49">
        <f>'Apuração Dezembro'!L7</f>
        <v>55</v>
      </c>
      <c r="AB7" s="49">
        <f>'Apuração Dezembro'!M7</f>
        <v>30</v>
      </c>
      <c r="AC7" s="11">
        <f>'Apuração Dezembro'!K7</f>
        <v>0.82240906629555344</v>
      </c>
      <c r="AD7" s="12">
        <f>'Apuração Dezembro'!N7</f>
        <v>0.54545454545454541</v>
      </c>
      <c r="AE7" s="22"/>
      <c r="AF7" s="114">
        <v>84023.57</v>
      </c>
      <c r="AG7" s="126">
        <v>51900.832755999996</v>
      </c>
      <c r="AH7" s="1">
        <v>70</v>
      </c>
      <c r="AI7" s="1">
        <v>84</v>
      </c>
      <c r="AJ7" s="126">
        <v>53198.630000000005</v>
      </c>
      <c r="AK7" s="126">
        <v>61558.694099999993</v>
      </c>
      <c r="AL7" s="125">
        <v>72</v>
      </c>
      <c r="AM7" s="31">
        <v>57</v>
      </c>
      <c r="AN7" s="126">
        <f>'Apuração Dezembro'!P7</f>
        <v>32839.409999999996</v>
      </c>
      <c r="AO7" s="126">
        <f>'Apuração Dezembro'!Q7</f>
        <v>12668.6224</v>
      </c>
      <c r="AP7" s="1">
        <f>'Apuração Dezembro'!S7</f>
        <v>22</v>
      </c>
      <c r="AQ7" s="31">
        <f>'Apuração Dezembro'!T7</f>
        <v>23</v>
      </c>
      <c r="AR7" s="42">
        <f>'Apuração Dezembro'!R7</f>
        <v>0.38577496976955439</v>
      </c>
      <c r="AS7" s="12">
        <f>'Apuração Dezembro'!U7</f>
        <v>1.0454545454545454</v>
      </c>
      <c r="AU7" s="27">
        <f t="shared" si="1"/>
        <v>3268.08</v>
      </c>
      <c r="AV7" s="24">
        <v>0.79606030042657294</v>
      </c>
      <c r="AW7" s="24">
        <v>0.70122012381960419</v>
      </c>
      <c r="AX7" s="24">
        <f>'Apuração Dezembro'!X7</f>
        <v>0.4054001931723486</v>
      </c>
      <c r="AY7" s="50">
        <f t="shared" si="2"/>
        <v>1300.7943733090372</v>
      </c>
      <c r="AZ7" s="50">
        <f t="shared" si="3"/>
        <v>1145.821731126186</v>
      </c>
      <c r="BA7" s="29">
        <f t="shared" si="4"/>
        <v>662.44013165134447</v>
      </c>
      <c r="BC7" s="80">
        <f>SUM(AY7:BA7)</f>
        <v>3109.0562360865674</v>
      </c>
      <c r="BE7" s="81">
        <f t="shared" si="5"/>
        <v>0.96576844735216683</v>
      </c>
      <c r="BF7" s="12">
        <f t="shared" si="12"/>
        <v>0.62536873156342188</v>
      </c>
      <c r="BH7" s="81">
        <f t="shared" si="6"/>
        <v>0.863399842830189</v>
      </c>
      <c r="BI7" s="12">
        <f t="shared" si="7"/>
        <v>0.91666666666666663</v>
      </c>
      <c r="BK7" s="81">
        <f t="shared" si="8"/>
        <v>0.74166150288710053</v>
      </c>
      <c r="BL7" s="12">
        <f t="shared" si="9"/>
        <v>1</v>
      </c>
      <c r="BN7" s="133">
        <v>3268.08</v>
      </c>
      <c r="BO7" s="24" cm="1">
        <f t="array" ref="BO7">(_xlfn.IFS(BE7&lt;70%,0,AND(BE7&gt;=70%,BE7&lt;=120%),BE7*30%,BE7&gt;120%,120%*30%))+(_xlfn.IFS(BF7&lt;70%,0,AND(BF7&gt;=70%,BF7&lt;=120%),BF7*30%,BF7&gt;120%,120%*30%))+(_xlfn.IFS(BH7&lt;70%,0,AND(BH7&gt;=70%,BH7&lt;=120%),BH7*7.5%,BH7&gt;120%,120%*7.5%))+(_xlfn.IFS(BI7&lt;70%,0,AND(BI7&gt;=70%,BI7&lt;=120%),BI7*7.5%,BI7&gt;120%,120%*7.5%))+(_xlfn.IFS(BK7&lt;70%,0,AND(BK7&gt;=70%,BK7&lt;=120%),BK7*12.5%,BK7&gt;120%,120%*12.5%))+(_xlfn.IFS(BL7&lt;70%,0,AND(BL7&gt;=70%,BL7&lt;=120%),BL7*12.5%,BL7&gt;120%,120%*12.5%))</f>
        <v>0.64094321027880174</v>
      </c>
      <c r="BP7" s="50">
        <f t="shared" si="10"/>
        <v>3141.9805299719196</v>
      </c>
      <c r="BQ7" s="82">
        <f t="shared" si="13"/>
        <v>695.36442553669667</v>
      </c>
    </row>
    <row r="8" spans="1:70" x14ac:dyDescent="0.25">
      <c r="A8" t="s">
        <v>34</v>
      </c>
      <c r="B8" s="114">
        <v>1962459.2000000002</v>
      </c>
      <c r="C8" s="126">
        <v>1559416.5383350023</v>
      </c>
      <c r="D8" s="49">
        <v>251</v>
      </c>
      <c r="E8" s="49">
        <v>206</v>
      </c>
      <c r="F8" s="126">
        <v>1000079.58</v>
      </c>
      <c r="G8" s="126">
        <v>686321.60562799824</v>
      </c>
      <c r="H8" s="127">
        <v>145</v>
      </c>
      <c r="I8" s="49">
        <v>106</v>
      </c>
      <c r="J8" s="126">
        <f>'Apuração Dezembro'!B9</f>
        <v>312239.94</v>
      </c>
      <c r="K8" s="126">
        <f>'Apuração Dezembro'!C9</f>
        <v>187927.54395300025</v>
      </c>
      <c r="L8" s="49">
        <f>'Apuração Dezembro'!E9</f>
        <v>99</v>
      </c>
      <c r="M8" s="49">
        <f>'Apuração Dezembro'!F9</f>
        <v>39</v>
      </c>
      <c r="N8" s="11">
        <f>'Apuração Dezembro'!D9</f>
        <v>0.60186901122579084</v>
      </c>
      <c r="O8" s="12">
        <f>'Apuração Dezembro'!G9</f>
        <v>0.39393939393939392</v>
      </c>
      <c r="P8" s="22"/>
      <c r="Q8" s="114">
        <v>285838.14</v>
      </c>
      <c r="R8" s="126">
        <v>168559.16742299992</v>
      </c>
      <c r="S8" s="49">
        <v>150</v>
      </c>
      <c r="T8" s="49">
        <v>168</v>
      </c>
      <c r="U8" s="126">
        <v>75698.559999999998</v>
      </c>
      <c r="V8" s="126">
        <v>59340.670156000007</v>
      </c>
      <c r="W8" s="125">
        <v>91</v>
      </c>
      <c r="X8" s="31">
        <v>62</v>
      </c>
      <c r="Y8" s="126">
        <f>'Apuração Dezembro'!I9</f>
        <v>30860.92</v>
      </c>
      <c r="Z8" s="126">
        <f>'Apuração Dezembro'!J9</f>
        <v>19315.495772000013</v>
      </c>
      <c r="AA8" s="49">
        <f>'Apuração Dezembro'!L9</f>
        <v>59</v>
      </c>
      <c r="AB8" s="49">
        <f>'Apuração Dezembro'!M9</f>
        <v>27</v>
      </c>
      <c r="AC8" s="11">
        <f>'Apuração Dezembro'!K9</f>
        <v>0.62588852736729861</v>
      </c>
      <c r="AD8" s="12">
        <f>'Apuração Dezembro'!N9</f>
        <v>0.4576271186440678</v>
      </c>
      <c r="AE8" s="22"/>
      <c r="AF8" s="114">
        <v>157150.21000000002</v>
      </c>
      <c r="AG8" s="126">
        <v>129564.21447199988</v>
      </c>
      <c r="AH8" s="1">
        <v>145</v>
      </c>
      <c r="AI8" s="1">
        <v>160</v>
      </c>
      <c r="AJ8" s="126">
        <v>69839.509999999995</v>
      </c>
      <c r="AK8" s="126">
        <v>36760.563839999988</v>
      </c>
      <c r="AL8" s="125">
        <v>87</v>
      </c>
      <c r="AM8" s="31">
        <v>54</v>
      </c>
      <c r="AN8" s="126">
        <f>'Apuração Dezembro'!P9</f>
        <v>19968.830000000002</v>
      </c>
      <c r="AO8" s="126">
        <f>'Apuração Dezembro'!Q9</f>
        <v>16016.247179999993</v>
      </c>
      <c r="AP8" s="1">
        <f>'Apuração Dezembro'!S9</f>
        <v>24</v>
      </c>
      <c r="AQ8" s="31">
        <f>'Apuração Dezembro'!T9</f>
        <v>25</v>
      </c>
      <c r="AR8" s="42">
        <f>'Apuração Dezembro'!R9</f>
        <v>0.80206237320864526</v>
      </c>
      <c r="AS8" s="12">
        <f>'Apuração Dezembro'!U9</f>
        <v>1.0416666666666667</v>
      </c>
      <c r="AU8" s="27">
        <f t="shared" si="1"/>
        <v>3000</v>
      </c>
      <c r="AV8" s="24">
        <v>0.80959089710502163</v>
      </c>
      <c r="AW8" s="24">
        <v>0.27810340854900972</v>
      </c>
      <c r="AX8" s="24">
        <f>'Apuração Dezembro'!X9</f>
        <v>0.23046612998441401</v>
      </c>
      <c r="AY8" s="50">
        <f t="shared" si="2"/>
        <v>1214.3863456575325</v>
      </c>
      <c r="AZ8" s="50">
        <f t="shared" si="3"/>
        <v>417.15511282351457</v>
      </c>
      <c r="BA8" s="29">
        <f t="shared" si="4"/>
        <v>345.69919497662102</v>
      </c>
      <c r="BC8" s="80">
        <f t="shared" ref="BC8:BC19" si="14">SUM(AY8:BA8)</f>
        <v>1977.240653457668</v>
      </c>
      <c r="BE8" s="81">
        <f t="shared" si="5"/>
        <v>0.74315423911023848</v>
      </c>
      <c r="BF8" s="12">
        <f t="shared" si="12"/>
        <v>0.70909090909090911</v>
      </c>
      <c r="BH8" s="81">
        <f t="shared" si="6"/>
        <v>0.63001231595390395</v>
      </c>
      <c r="BI8" s="12">
        <f t="shared" si="7"/>
        <v>0.85666666666666669</v>
      </c>
      <c r="BK8" s="81">
        <f t="shared" si="8"/>
        <v>0.73834668000763626</v>
      </c>
      <c r="BL8" s="12">
        <f t="shared" si="9"/>
        <v>0.93359375</v>
      </c>
      <c r="BN8" s="133">
        <v>3000</v>
      </c>
      <c r="BO8" s="24" cm="1">
        <f t="array" ref="BO8">(_xlfn.IFS(BE8&lt;70%,0,AND(BE8&gt;=70%,BE8&lt;=120%),BE8*30%,BE8&gt;120%,120%*30%))+(_xlfn.IFS(BF8&lt;70%,0,AND(BF8&gt;=70%,BF8&lt;=120%),BF8*30%,BF8&gt;120%,120%*30%))+(_xlfn.IFS(BH8&lt;70%,0,AND(BH8&gt;=70%,BH8&lt;=120%),BH8*7.5%,BH8&gt;120%,120%*7.5%))+(_xlfn.IFS(BI8&lt;70%,0,AND(BI8&gt;=70%,BI8&lt;=120%),BI8*7.5%,BI8&gt;120%,120%*7.5%))+(_xlfn.IFS(BK8&lt;70%,0,AND(BK8&gt;=70%,BK8&lt;=120%),BK8*12.5%,BK8&gt;120%,120%*12.5%))+(_xlfn.IFS(BL8&lt;70%,0,AND(BL8&gt;=70%,BL8&lt;=120%),BL8*12.5%,BL8&gt;120%,120%*12.5%))</f>
        <v>0.70891609821129875</v>
      </c>
      <c r="BP8" s="50">
        <f t="shared" si="10"/>
        <v>3190.1224419508444</v>
      </c>
      <c r="BQ8" s="82">
        <f t="shared" si="13"/>
        <v>1558.5809834697975</v>
      </c>
    </row>
    <row r="9" spans="1:70" x14ac:dyDescent="0.25">
      <c r="A9" t="s">
        <v>24</v>
      </c>
      <c r="B9" s="114">
        <v>2213460.54</v>
      </c>
      <c r="C9" s="126">
        <v>1820012.5169939958</v>
      </c>
      <c r="D9" s="49">
        <v>186</v>
      </c>
      <c r="E9" s="49">
        <v>149</v>
      </c>
      <c r="F9" s="126">
        <v>1215506.3</v>
      </c>
      <c r="G9" s="126">
        <v>782584.50578300096</v>
      </c>
      <c r="H9" s="127">
        <v>67</v>
      </c>
      <c r="I9" s="49">
        <v>46</v>
      </c>
      <c r="J9" s="126">
        <f>'Apuração Dezembro'!B10</f>
        <v>524723.96</v>
      </c>
      <c r="K9" s="126">
        <f>'Apuração Dezembro'!C10</f>
        <v>334338.4584</v>
      </c>
      <c r="L9" s="49">
        <f>'Apuração Dezembro'!E10</f>
        <v>117</v>
      </c>
      <c r="M9" s="49">
        <f>'Apuração Dezembro'!F10</f>
        <v>31</v>
      </c>
      <c r="N9" s="11">
        <f>'Apuração Dezembro'!D10</f>
        <v>0.6371701768678526</v>
      </c>
      <c r="O9" s="12">
        <f>'Apuração Dezembro'!G10</f>
        <v>0.26495726495726496</v>
      </c>
      <c r="P9" s="22"/>
      <c r="Q9" s="114">
        <v>334319.46000000002</v>
      </c>
      <c r="R9" s="126">
        <v>78356.501623999982</v>
      </c>
      <c r="S9" s="49">
        <v>109</v>
      </c>
      <c r="T9" s="49">
        <v>65</v>
      </c>
      <c r="U9" s="126">
        <v>120355.16</v>
      </c>
      <c r="V9" s="126">
        <v>57726.067000000003</v>
      </c>
      <c r="W9" s="125">
        <v>42</v>
      </c>
      <c r="X9" s="31">
        <v>38</v>
      </c>
      <c r="Y9" s="126">
        <f>'Apuração Dezembro'!I10</f>
        <v>51862.259999999995</v>
      </c>
      <c r="Z9" s="126">
        <f>'Apuração Dezembro'!J10</f>
        <v>22991.558500000003</v>
      </c>
      <c r="AA9" s="49">
        <f>'Apuração Dezembro'!L10</f>
        <v>70</v>
      </c>
      <c r="AB9" s="49">
        <f>'Apuração Dezembro'!M10</f>
        <v>23</v>
      </c>
      <c r="AC9" s="11">
        <f>'Apuração Dezembro'!K10</f>
        <v>0.44331964129600226</v>
      </c>
      <c r="AD9" s="12">
        <f>'Apuração Dezembro'!N10</f>
        <v>0.32857142857142857</v>
      </c>
      <c r="AE9" s="22"/>
      <c r="AF9" s="114">
        <v>175953.99</v>
      </c>
      <c r="AG9" s="126">
        <v>103037.74924599999</v>
      </c>
      <c r="AH9" s="1">
        <v>104</v>
      </c>
      <c r="AI9" s="1">
        <v>64</v>
      </c>
      <c r="AJ9" s="126">
        <v>108217.78</v>
      </c>
      <c r="AK9" s="126">
        <v>76457.41569999994</v>
      </c>
      <c r="AL9" s="125">
        <v>40</v>
      </c>
      <c r="AM9" s="31">
        <v>36</v>
      </c>
      <c r="AN9" s="126">
        <f>'Apuração Dezembro'!P10</f>
        <v>33557.93</v>
      </c>
      <c r="AO9" s="126">
        <f>'Apuração Dezembro'!Q10</f>
        <v>40314.669000000002</v>
      </c>
      <c r="AP9" s="1">
        <f>'Apuração Dezembro'!S10</f>
        <v>28</v>
      </c>
      <c r="AQ9" s="31">
        <f>'Apuração Dezembro'!T10</f>
        <v>22</v>
      </c>
      <c r="AR9" s="42">
        <f>'Apuração Dezembro'!R10</f>
        <v>1.2013455239938817</v>
      </c>
      <c r="AS9" s="12">
        <f>'Apuração Dezembro'!U10</f>
        <v>0.7857142857142857</v>
      </c>
      <c r="AU9" s="27">
        <f>BN9</f>
        <v>4402.87</v>
      </c>
      <c r="AV9" s="24">
        <v>0.48699684713025465</v>
      </c>
      <c r="AW9" s="24">
        <v>0.26867143799884685</v>
      </c>
      <c r="AX9" s="24">
        <f>'Apuração Dezembro'!X10</f>
        <v>0.56177696504939578</v>
      </c>
      <c r="AY9" s="50">
        <f t="shared" si="2"/>
        <v>1072.0919041621921</v>
      </c>
      <c r="AZ9" s="50">
        <f t="shared" si="3"/>
        <v>591.46270711099146</v>
      </c>
      <c r="BA9" s="29">
        <f t="shared" si="4"/>
        <v>1236.7154730535165</v>
      </c>
      <c r="BC9" s="80">
        <f t="shared" si="14"/>
        <v>2900.2700843267003</v>
      </c>
      <c r="BE9" s="81">
        <f t="shared" si="5"/>
        <v>0.74283388098457181</v>
      </c>
      <c r="BF9" s="12">
        <f t="shared" si="12"/>
        <v>0.61081081081081079</v>
      </c>
      <c r="BH9" s="81">
        <f t="shared" si="6"/>
        <v>0.31404253748315419</v>
      </c>
      <c r="BI9" s="12">
        <f t="shared" si="7"/>
        <v>0.57013574660633481</v>
      </c>
      <c r="BK9" s="81">
        <f t="shared" si="8"/>
        <v>0.69181393475649244</v>
      </c>
      <c r="BL9" s="12">
        <f t="shared" si="9"/>
        <v>0.70930232558139539</v>
      </c>
      <c r="BN9" s="133">
        <v>4402.87</v>
      </c>
      <c r="BO9" s="24" cm="1">
        <f t="array" ref="BO9">(_xlfn.IFS(BE9&lt;70%,0,AND(BE9&gt;=70%,BE9&lt;=120%),BE9*30%,BE9&gt;120%,120%*30%))+(_xlfn.IFS(BF9&lt;70%,0,AND(BF9&gt;=70%,BF9&lt;=120%),BF9*30%,BF9&gt;120%,120%*30%))+(_xlfn.IFS(BH9&lt;70%,0,AND(BH9&gt;=70%,BH9&lt;=120%),BH9*7.5%,BH9&gt;120%,120%*7.5%))+(_xlfn.IFS(BI9&lt;70%,0,AND(BI9&gt;=70%,BI9&lt;=120%),BI9*7.5%,BI9&gt;120%,120%*7.5%))+(_xlfn.IFS(BK9&lt;70%,0,AND(BK9&gt;=70%,BK9&lt;=120%),BK9*12.5%,BK9&gt;120%,120%*12.5%))+(_xlfn.IFS(BL9&lt;70%,0,AND(BL9&gt;=70%,BL9&lt;=120%),BL9*12.5%,BL9&gt;120%,120%*12.5%))</f>
        <v>0.31151295499304599</v>
      </c>
      <c r="BP9" s="50">
        <f t="shared" si="10"/>
        <v>2057.3265662253489</v>
      </c>
      <c r="BQ9" s="82">
        <f t="shared" si="13"/>
        <v>1236.7154730535165</v>
      </c>
    </row>
    <row r="10" spans="1:70" x14ac:dyDescent="0.25">
      <c r="A10" t="s">
        <v>35</v>
      </c>
      <c r="B10" s="114">
        <v>1587950</v>
      </c>
      <c r="C10" s="126">
        <v>1936818.1817520005</v>
      </c>
      <c r="D10" s="49">
        <v>0</v>
      </c>
      <c r="E10" s="49">
        <v>13</v>
      </c>
      <c r="F10" s="126">
        <v>1437720.71</v>
      </c>
      <c r="G10" s="126">
        <v>1470849.8176880004</v>
      </c>
      <c r="H10" s="127">
        <v>0</v>
      </c>
      <c r="I10" s="49">
        <v>14</v>
      </c>
      <c r="J10" s="126">
        <f>'Apuração Dezembro'!B11</f>
        <v>392720.93</v>
      </c>
      <c r="K10" s="126">
        <f>'Apuração Dezembro'!C11</f>
        <v>1280961.1478399995</v>
      </c>
      <c r="L10" s="49">
        <f>'Apuração Dezembro'!E11</f>
        <v>0</v>
      </c>
      <c r="M10" s="49">
        <f>'Apuração Dezembro'!F11</f>
        <v>12</v>
      </c>
      <c r="N10" s="11">
        <f>'Apuração Dezembro'!D11</f>
        <v>3.2617593053672986</v>
      </c>
      <c r="O10" s="12">
        <f>'Apuração Dezembro'!G11</f>
        <v>0</v>
      </c>
      <c r="P10" s="22"/>
      <c r="Q10" s="114">
        <v>27420</v>
      </c>
      <c r="R10" s="126">
        <v>38948.292000000009</v>
      </c>
      <c r="S10" s="49">
        <v>0</v>
      </c>
      <c r="T10" s="49">
        <v>4</v>
      </c>
      <c r="U10" s="126">
        <v>36491.160000000003</v>
      </c>
      <c r="V10" s="126">
        <v>17026.236000000004</v>
      </c>
      <c r="W10" s="125">
        <v>0</v>
      </c>
      <c r="X10" s="31">
        <v>4</v>
      </c>
      <c r="Y10" s="126">
        <f>'Apuração Dezembro'!I11</f>
        <v>20206.259999999998</v>
      </c>
      <c r="Z10" s="126">
        <f>'Apuração Dezembro'!J11</f>
        <v>22222.26</v>
      </c>
      <c r="AA10" s="49">
        <f>'Apuração Dezembro'!L11</f>
        <v>0</v>
      </c>
      <c r="AB10" s="49">
        <f>'Apuração Dezembro'!M11</f>
        <v>2</v>
      </c>
      <c r="AC10" s="11">
        <f>'Apuração Dezembro'!K11</f>
        <v>1.0997710610474181</v>
      </c>
      <c r="AD10" s="12">
        <f>'Apuração Dezembro'!N11</f>
        <v>0</v>
      </c>
      <c r="AE10" s="22"/>
      <c r="AF10" s="114">
        <v>28152</v>
      </c>
      <c r="AG10" s="126">
        <v>69610.166280000005</v>
      </c>
      <c r="AH10" s="1">
        <v>0</v>
      </c>
      <c r="AI10" s="1">
        <v>7</v>
      </c>
      <c r="AJ10" s="126">
        <v>23144.15</v>
      </c>
      <c r="AK10" s="126">
        <v>41703.291147999997</v>
      </c>
      <c r="AL10" s="125">
        <v>0</v>
      </c>
      <c r="AM10" s="31">
        <v>4</v>
      </c>
      <c r="AN10" s="126">
        <f>'Apuração Dezembro'!P11</f>
        <v>5729.62</v>
      </c>
      <c r="AO10" s="126">
        <f>'Apuração Dezembro'!Q11</f>
        <v>36024.036888000002</v>
      </c>
      <c r="AP10" s="1">
        <f>'Apuração Dezembro'!S11</f>
        <v>0</v>
      </c>
      <c r="AQ10" s="31">
        <f>'Apuração Dezembro'!T11</f>
        <v>6</v>
      </c>
      <c r="AR10" s="42">
        <f>'Apuração Dezembro'!R11</f>
        <v>6.2873343935548958</v>
      </c>
      <c r="AS10" s="12">
        <f>'Apuração Dezembro'!U11</f>
        <v>0</v>
      </c>
      <c r="AU10" s="27">
        <f t="shared" si="1"/>
        <v>5405</v>
      </c>
      <c r="AV10" s="24">
        <v>1.2</v>
      </c>
      <c r="AW10" s="24">
        <v>0.91382567871113185</v>
      </c>
      <c r="AX10" s="24">
        <f>'Apuração Dezembro'!X11</f>
        <v>1.1849656591571127</v>
      </c>
      <c r="AY10" s="50">
        <f t="shared" si="2"/>
        <v>3243</v>
      </c>
      <c r="AZ10" s="50">
        <f t="shared" si="3"/>
        <v>2469.613896716834</v>
      </c>
      <c r="BA10" s="29">
        <f t="shared" si="4"/>
        <v>3202.3696938720973</v>
      </c>
      <c r="BC10" s="80">
        <f>SUM(AY10:BA10)</f>
        <v>8914.9835905889304</v>
      </c>
      <c r="BE10" s="81">
        <f t="shared" si="5"/>
        <v>1.3715892270553294</v>
      </c>
      <c r="BF10" s="12" t="e">
        <f t="shared" si="12"/>
        <v>#DIV/0!</v>
      </c>
      <c r="BH10" s="81">
        <f t="shared" si="6"/>
        <v>0.92961467434450573</v>
      </c>
      <c r="BI10" s="12" t="e">
        <f t="shared" si="7"/>
        <v>#DIV/0!</v>
      </c>
      <c r="BK10" s="81">
        <f t="shared" si="8"/>
        <v>2.5837002168668652</v>
      </c>
      <c r="BL10" s="12" t="e">
        <f t="shared" si="9"/>
        <v>#DIV/0!</v>
      </c>
      <c r="BN10" s="133">
        <v>5405</v>
      </c>
      <c r="BO10" s="24" cm="1">
        <f t="array" ref="BO10">(_xlfn.IFS(BE10&lt;70%,0,AND(BE10&gt;=70%,BE10&lt;=120%),BE10*60%,BE10&gt;120%,120%*60%))+(_xlfn.IFS(BH10&lt;70%,0,AND(BH10&gt;=70%,BH10&lt;=120%),BH10*15%,BH10&gt;120%,120%*15%))+(_xlfn.IFS(BK10&lt;70%,0,AND(BK10&gt;=70%,BK10&lt;=120%),BK10*25%,BK10&gt;120%,120%*25%))</f>
        <v>1.1594422011516758</v>
      </c>
      <c r="BP10" s="50">
        <f t="shared" si="10"/>
        <v>9400.1776458372115</v>
      </c>
      <c r="BQ10" s="82">
        <f t="shared" si="13"/>
        <v>3687.5637491203779</v>
      </c>
    </row>
    <row r="11" spans="1:70" x14ac:dyDescent="0.25">
      <c r="A11" t="s">
        <v>52</v>
      </c>
      <c r="B11" s="114">
        <v>0</v>
      </c>
      <c r="C11" s="126">
        <v>0</v>
      </c>
      <c r="D11" s="49">
        <v>0</v>
      </c>
      <c r="E11" s="49">
        <v>0</v>
      </c>
      <c r="F11" s="126">
        <v>350000</v>
      </c>
      <c r="G11" s="126">
        <v>283600.1454319997</v>
      </c>
      <c r="H11" s="127">
        <v>116</v>
      </c>
      <c r="I11" s="49">
        <v>102</v>
      </c>
      <c r="J11" s="126">
        <f>'Apuração Dezembro'!B12</f>
        <v>129000</v>
      </c>
      <c r="K11" s="126">
        <f>'Apuração Dezembro'!C12</f>
        <v>132004.31921000005</v>
      </c>
      <c r="L11" s="49">
        <f>'Apuração Dezembro'!E12</f>
        <v>40</v>
      </c>
      <c r="M11" s="49">
        <f>'Apuração Dezembro'!F12</f>
        <v>58</v>
      </c>
      <c r="N11" s="11">
        <f>'Apuração Dezembro'!D12</f>
        <v>1.0232892962015507</v>
      </c>
      <c r="O11" s="12">
        <f>'Apuração Dezembro'!G12</f>
        <v>1.45</v>
      </c>
      <c r="P11" s="22"/>
      <c r="Q11" s="114">
        <v>0</v>
      </c>
      <c r="R11" s="126">
        <v>0</v>
      </c>
      <c r="S11" s="49">
        <v>0</v>
      </c>
      <c r="T11" s="49">
        <v>0</v>
      </c>
      <c r="U11" s="126">
        <v>43640.39</v>
      </c>
      <c r="V11" s="126">
        <v>16607.153069999993</v>
      </c>
      <c r="W11" s="125">
        <v>73</v>
      </c>
      <c r="X11" s="31">
        <v>17</v>
      </c>
      <c r="Y11" s="126">
        <f>'Apuração Dezembro'!I12</f>
        <v>12750</v>
      </c>
      <c r="Z11" s="126">
        <f>'Apuração Dezembro'!J12</f>
        <v>10196.758507999999</v>
      </c>
      <c r="AA11" s="49">
        <f>'Apuração Dezembro'!L12</f>
        <v>24</v>
      </c>
      <c r="AB11" s="49">
        <f>'Apuração Dezembro'!M12</f>
        <v>8</v>
      </c>
      <c r="AC11" s="11">
        <f>'Apuração Dezembro'!K12</f>
        <v>0.7997457653333333</v>
      </c>
      <c r="AD11" s="12">
        <f>'Apuração Dezembro'!N12</f>
        <v>0.33333333333333331</v>
      </c>
      <c r="AE11" s="22"/>
      <c r="AF11" s="114">
        <v>0</v>
      </c>
      <c r="AG11" s="126">
        <v>0</v>
      </c>
      <c r="AH11" s="1">
        <v>0</v>
      </c>
      <c r="AI11" s="1">
        <v>0</v>
      </c>
      <c r="AJ11" s="126">
        <v>35560.26</v>
      </c>
      <c r="AK11" s="126">
        <v>9360.8570159999981</v>
      </c>
      <c r="AL11" s="125">
        <v>70</v>
      </c>
      <c r="AM11" s="31">
        <v>17</v>
      </c>
      <c r="AN11" s="126">
        <f>'Apuração Dezembro'!P12</f>
        <v>8250</v>
      </c>
      <c r="AO11" s="126">
        <f>'Apuração Dezembro'!Q12</f>
        <v>11723.872198000001</v>
      </c>
      <c r="AP11" s="1">
        <f>'Apuração Dezembro'!S12</f>
        <v>10</v>
      </c>
      <c r="AQ11" s="31">
        <f>'Apuração Dezembro'!T12</f>
        <v>12</v>
      </c>
      <c r="AR11" s="42">
        <f>'Apuração Dezembro'!R12</f>
        <v>1.4210754179393941</v>
      </c>
      <c r="AS11" s="12">
        <f>'Apuração Dezembro'!U12</f>
        <v>1.2</v>
      </c>
      <c r="AU11" s="27">
        <f t="shared" si="1"/>
        <v>4100</v>
      </c>
      <c r="AV11" s="24">
        <v>0.79666312266766115</v>
      </c>
      <c r="AW11" s="24">
        <v>0.7</v>
      </c>
      <c r="AX11" s="24">
        <f>'Apuração Dezembro'!X12</f>
        <v>1.0269677212604653</v>
      </c>
      <c r="AY11" s="50">
        <f t="shared" si="2"/>
        <v>1633.1594014687053</v>
      </c>
      <c r="AZ11" s="50">
        <f t="shared" si="3"/>
        <v>1435</v>
      </c>
      <c r="BA11" s="29">
        <f t="shared" si="4"/>
        <v>2105.2838285839539</v>
      </c>
      <c r="BC11" s="80">
        <f t="shared" si="14"/>
        <v>5173.4432300526587</v>
      </c>
      <c r="BE11" s="81">
        <f t="shared" si="5"/>
        <v>0.8676502393361164</v>
      </c>
      <c r="BF11" s="12">
        <f t="shared" si="12"/>
        <v>1.0256410256410255</v>
      </c>
      <c r="BH11" s="81">
        <f t="shared" si="6"/>
        <v>0.47532765029644219</v>
      </c>
      <c r="BI11" s="12">
        <f t="shared" si="7"/>
        <v>0.25773195876288657</v>
      </c>
      <c r="BK11" s="81">
        <f t="shared" si="8"/>
        <v>0.48127377500156354</v>
      </c>
      <c r="BL11" s="12">
        <f t="shared" si="9"/>
        <v>0.36249999999999999</v>
      </c>
      <c r="BN11" s="133">
        <v>4100</v>
      </c>
      <c r="BO11" s="24" cm="1">
        <f t="array" ref="BO11">(_xlfn.IFS(BE11&lt;70%,0,AND(BE11&gt;=70%,BE11&lt;=120%),BE11*30%,BE11&gt;120%,120%*30%))+(_xlfn.IFS(BF11&lt;70%,0,AND(BF11&gt;=70%,BF11&lt;=120%),BF11*30%,BF11&gt;120%,120%*30%))+(_xlfn.IFS(BH11&lt;70%,0,AND(BH11&gt;=70%,BH11&lt;=120%),BH11*7.5%,BH11&gt;120%,120%*7.5%))+(_xlfn.IFS(BI11&lt;70%,0,AND(BI11&gt;=70%,BI11&lt;=120%),BI11*7.5%,BI11&gt;120%,120%*7.5%))+(_xlfn.IFS(BK11&lt;70%,0,AND(BK11&gt;=70%,BK11&lt;=120%),BK11*12.5%,BK11&gt;120%,120%*12.5%))+(_xlfn.IFS(BL11&lt;70%,0,AND(BL11&gt;=70%,BL11&lt;=120%),BL11*12.5%,BL11&gt;120%,120%*12.5%))</f>
        <v>0.56798737949314249</v>
      </c>
      <c r="BP11" s="50">
        <f t="shared" si="10"/>
        <v>3493.1223838828264</v>
      </c>
      <c r="BQ11" s="82">
        <f t="shared" si="13"/>
        <v>2105.2838285839539</v>
      </c>
    </row>
    <row r="12" spans="1:70" x14ac:dyDescent="0.25">
      <c r="A12" t="s">
        <v>53</v>
      </c>
      <c r="B12" s="114">
        <v>5160831</v>
      </c>
      <c r="C12" s="126">
        <v>4827176.6727250097</v>
      </c>
      <c r="D12" s="49">
        <v>0</v>
      </c>
      <c r="E12" s="49">
        <v>28</v>
      </c>
      <c r="F12" s="126">
        <v>2625771.6400000006</v>
      </c>
      <c r="G12" s="126">
        <v>1294836.3178500007</v>
      </c>
      <c r="H12" s="127">
        <v>0</v>
      </c>
      <c r="I12" s="49">
        <v>13</v>
      </c>
      <c r="J12" s="126">
        <f>'Apuração Dezembro'!B13</f>
        <v>489955.27</v>
      </c>
      <c r="K12" s="126">
        <f>'Apuração Dezembro'!C13</f>
        <v>459523.29190000001</v>
      </c>
      <c r="L12" s="49">
        <f>'Apuração Dezembro'!E13</f>
        <v>73</v>
      </c>
      <c r="M12" s="49">
        <f>'Apuração Dezembro'!F13</f>
        <v>38</v>
      </c>
      <c r="N12" s="11">
        <f>'Apuração Dezembro'!D13</f>
        <v>0.93788825232964634</v>
      </c>
      <c r="O12" s="12">
        <f>'Apuração Dezembro'!G13</f>
        <v>0.52054794520547942</v>
      </c>
      <c r="P12" s="22"/>
      <c r="Q12" s="114">
        <v>340514</v>
      </c>
      <c r="R12" s="126">
        <v>273805.48969999998</v>
      </c>
      <c r="S12" s="49">
        <v>0</v>
      </c>
      <c r="T12" s="49">
        <v>20</v>
      </c>
      <c r="U12" s="126">
        <v>163919.24</v>
      </c>
      <c r="V12" s="126">
        <v>83467.062700000009</v>
      </c>
      <c r="W12" s="125">
        <v>0</v>
      </c>
      <c r="X12" s="31">
        <v>9</v>
      </c>
      <c r="Y12" s="126">
        <f>'Apuração Dezembro'!I13</f>
        <v>42672.82</v>
      </c>
      <c r="Z12" s="126">
        <f>'Apuração Dezembro'!J13</f>
        <v>34320.864000000001</v>
      </c>
      <c r="AA12" s="49">
        <f>'Apuração Dezembro'!L13</f>
        <v>44</v>
      </c>
      <c r="AB12" s="49">
        <f>'Apuração Dezembro'!M13</f>
        <v>18</v>
      </c>
      <c r="AC12" s="11">
        <f>'Apuração Dezembro'!K13</f>
        <v>0.80427925785078191</v>
      </c>
      <c r="AD12" s="12">
        <f>'Apuração Dezembro'!N13</f>
        <v>0.40909090909090912</v>
      </c>
      <c r="AE12" s="22"/>
      <c r="AF12" s="114">
        <v>257842</v>
      </c>
      <c r="AG12" s="126">
        <v>203248.56837499997</v>
      </c>
      <c r="AH12" s="1">
        <v>0</v>
      </c>
      <c r="AI12" s="1">
        <v>20</v>
      </c>
      <c r="AJ12" s="126">
        <v>123806.85999999999</v>
      </c>
      <c r="AK12" s="126">
        <v>62049.091499999988</v>
      </c>
      <c r="AL12" s="125">
        <v>0</v>
      </c>
      <c r="AM12" s="31">
        <v>8</v>
      </c>
      <c r="AN12" s="126">
        <f>'Apuração Dezembro'!P13</f>
        <v>29962.690000000002</v>
      </c>
      <c r="AO12" s="126">
        <f>'Apuração Dezembro'!Q13</f>
        <v>34033.317500000005</v>
      </c>
      <c r="AP12" s="1">
        <f>'Apuração Dezembro'!S13</f>
        <v>18</v>
      </c>
      <c r="AQ12" s="31">
        <f>'Apuração Dezembro'!T13</f>
        <v>19</v>
      </c>
      <c r="AR12" s="42">
        <f>'Apuração Dezembro'!R13</f>
        <v>1.1358565435880423</v>
      </c>
      <c r="AS12" s="12">
        <f>'Apuração Dezembro'!U13</f>
        <v>1.0555555555555556</v>
      </c>
      <c r="AU12" s="27">
        <f t="shared" si="1"/>
        <v>9500</v>
      </c>
      <c r="AV12" s="24">
        <v>0.87889040321197598</v>
      </c>
      <c r="AW12" s="24">
        <v>0.7</v>
      </c>
      <c r="AX12" s="24">
        <f>'Apuração Dezembro'!X13</f>
        <v>0.61561393243065221</v>
      </c>
      <c r="AY12" s="50">
        <f t="shared" si="2"/>
        <v>4174.7294152568857</v>
      </c>
      <c r="AZ12" s="50">
        <f t="shared" si="3"/>
        <v>3325</v>
      </c>
      <c r="BA12" s="29">
        <f t="shared" si="4"/>
        <v>2924.1661790455978</v>
      </c>
      <c r="BC12" s="80">
        <f t="shared" si="14"/>
        <v>10423.895594302483</v>
      </c>
      <c r="BE12" s="81">
        <f t="shared" si="5"/>
        <v>0.79520210624310239</v>
      </c>
      <c r="BF12" s="12">
        <f t="shared" si="12"/>
        <v>1.0821917808219179</v>
      </c>
      <c r="BH12" s="81">
        <f t="shared" si="6"/>
        <v>0.71575411977706849</v>
      </c>
      <c r="BI12" s="12">
        <f t="shared" si="7"/>
        <v>1.0681818181818181</v>
      </c>
      <c r="BK12" s="81">
        <f t="shared" si="8"/>
        <v>0.72721714775739399</v>
      </c>
      <c r="BL12" s="12">
        <f t="shared" si="9"/>
        <v>2.6111111111111112</v>
      </c>
      <c r="BN12" s="133">
        <v>9500</v>
      </c>
      <c r="BO12" s="24" cm="1">
        <f t="array" ref="BO12">(_xlfn.IFS(BE12&lt;70%,0,AND(BE12&gt;=70%,BE12&lt;=120%),BE12*60%,BE12&gt;120%,120%*60%))+(_xlfn.IFS(BH12&lt;70%,0,AND(BH12&gt;=70%,BH12&lt;=120%),BH12*15%,BH12&gt;120%,120%*15%))+(_xlfn.IFS(BK12&lt;70%,0,AND(BK12&gt;=70%,BK12&lt;=120%),BK12*25%,BK12&gt;120%,120%*25%))</f>
        <v>0.76628866865177014</v>
      </c>
      <c r="BP12" s="50">
        <f t="shared" si="10"/>
        <v>10919.613528287724</v>
      </c>
      <c r="BQ12" s="82">
        <f t="shared" si="13"/>
        <v>3419.8841130308392</v>
      </c>
    </row>
    <row r="13" spans="1:70" x14ac:dyDescent="0.25">
      <c r="A13" t="s">
        <v>2</v>
      </c>
      <c r="B13" s="114">
        <v>2839615.38</v>
      </c>
      <c r="C13" s="126">
        <v>1961309.4894190042</v>
      </c>
      <c r="D13" s="49">
        <v>112</v>
      </c>
      <c r="E13" s="49">
        <v>124</v>
      </c>
      <c r="F13" s="126">
        <v>2204598.65</v>
      </c>
      <c r="G13" s="126">
        <v>1415717.8449379981</v>
      </c>
      <c r="H13" s="127">
        <v>100</v>
      </c>
      <c r="I13" s="49">
        <v>57</v>
      </c>
      <c r="J13" s="126">
        <f>'Apuração Dezembro'!B14</f>
        <v>748061.37</v>
      </c>
      <c r="K13" s="126">
        <f>'Apuração Dezembro'!C14</f>
        <v>598758.94512200099</v>
      </c>
      <c r="L13" s="49">
        <f>'Apuração Dezembro'!E14</f>
        <v>83</v>
      </c>
      <c r="M13" s="49">
        <f>'Apuração Dezembro'!F14</f>
        <v>34</v>
      </c>
      <c r="N13" s="11">
        <f>'Apuração Dezembro'!D14</f>
        <v>0.80041420281066111</v>
      </c>
      <c r="O13" s="12">
        <f>'Apuração Dezembro'!G14</f>
        <v>0.40963855421686746</v>
      </c>
      <c r="P13" s="22"/>
      <c r="Q13" s="114">
        <v>474176.77</v>
      </c>
      <c r="R13" s="126">
        <v>269247.75984800013</v>
      </c>
      <c r="S13" s="49">
        <v>61</v>
      </c>
      <c r="T13" s="49">
        <v>101</v>
      </c>
      <c r="U13" s="126">
        <v>258951.67</v>
      </c>
      <c r="V13" s="126">
        <v>153824.26703999995</v>
      </c>
      <c r="W13" s="125">
        <v>63</v>
      </c>
      <c r="X13" s="31">
        <v>46</v>
      </c>
      <c r="Y13" s="126">
        <f>'Apuração Dezembro'!I14</f>
        <v>73936.3</v>
      </c>
      <c r="Z13" s="126">
        <f>'Apuração Dezembro'!J14</f>
        <v>49316.133500000011</v>
      </c>
      <c r="AA13" s="49">
        <f>'Apuração Dezembro'!L14</f>
        <v>50</v>
      </c>
      <c r="AB13" s="49">
        <f>'Apuração Dezembro'!M14</f>
        <v>21</v>
      </c>
      <c r="AC13" s="11">
        <f>'Apuração Dezembro'!K14</f>
        <v>0.66700840453200938</v>
      </c>
      <c r="AD13" s="12">
        <f>'Apuração Dezembro'!N14</f>
        <v>0.42</v>
      </c>
      <c r="AE13" s="22"/>
      <c r="AF13" s="114">
        <v>268526.40000000002</v>
      </c>
      <c r="AG13" s="126">
        <v>160852.34480799999</v>
      </c>
      <c r="AH13" s="1">
        <v>58</v>
      </c>
      <c r="AI13" s="1">
        <v>101</v>
      </c>
      <c r="AJ13" s="126">
        <v>186897.4</v>
      </c>
      <c r="AK13" s="126">
        <v>77881.589469999977</v>
      </c>
      <c r="AL13" s="125">
        <v>60</v>
      </c>
      <c r="AM13" s="31">
        <v>44</v>
      </c>
      <c r="AN13" s="126">
        <f>'Apuração Dezembro'!P14</f>
        <v>47841.13</v>
      </c>
      <c r="AO13" s="126">
        <f>'Apuração Dezembro'!Q14</f>
        <v>33001.672959999989</v>
      </c>
      <c r="AP13" s="1">
        <f>'Apuração Dezembro'!S14</f>
        <v>20</v>
      </c>
      <c r="AQ13" s="31">
        <f>'Apuração Dezembro'!T14</f>
        <v>19</v>
      </c>
      <c r="AR13" s="42">
        <f>'Apuração Dezembro'!R14</f>
        <v>0.68981800722516362</v>
      </c>
      <c r="AS13" s="12">
        <f>'Apuração Dezembro'!U14</f>
        <v>0.95</v>
      </c>
      <c r="AU13" s="27">
        <f t="shared" si="1"/>
        <v>6169.25</v>
      </c>
      <c r="AV13" s="24">
        <v>0.57214285714285718</v>
      </c>
      <c r="AW13" s="24">
        <v>0.14642857142857141</v>
      </c>
      <c r="AX13" s="24">
        <f>'Apuração Dezembro'!X14</f>
        <v>0.35887426084319829</v>
      </c>
      <c r="AY13" s="50">
        <f t="shared" si="2"/>
        <v>1764.8461607142858</v>
      </c>
      <c r="AZ13" s="50">
        <f t="shared" si="3"/>
        <v>451.67723214285706</v>
      </c>
      <c r="BA13" s="29">
        <f t="shared" si="4"/>
        <v>1106.9925168534505</v>
      </c>
      <c r="BC13" s="80">
        <f t="shared" si="14"/>
        <v>3323.5159097105934</v>
      </c>
      <c r="BE13" s="81">
        <f t="shared" si="5"/>
        <v>0.68639455221328116</v>
      </c>
      <c r="BF13" s="12">
        <f t="shared" si="12"/>
        <v>0.72881355932203384</v>
      </c>
      <c r="BH13" s="81">
        <f t="shared" si="6"/>
        <v>0.58531631599715284</v>
      </c>
      <c r="BI13" s="12">
        <f t="shared" si="7"/>
        <v>0.96551724137931039</v>
      </c>
      <c r="BK13" s="81">
        <f t="shared" si="8"/>
        <v>0.53994544630399721</v>
      </c>
      <c r="BL13" s="12">
        <f t="shared" si="9"/>
        <v>1.1884057971014492</v>
      </c>
      <c r="BN13" s="133">
        <v>6169.25</v>
      </c>
      <c r="BO13" s="24" cm="1">
        <f t="array" ref="BO13">(_xlfn.IFS(BE13&lt;70%,0,AND(BE13&gt;=70%,BE13&lt;=120%),BE13*30%,BE13&gt;120%,120%*30%))+(_xlfn.IFS(BF13&lt;70%,0,AND(BF13&gt;=70%,BF13&lt;=120%),BF13*30%,BF13&gt;120%,120%*30%))+(_xlfn.IFS(BH13&lt;70%,0,AND(BH13&gt;=70%,BH13&lt;=120%),BH13*7.5%,BH13&gt;120%,120%*7.5%))+(_xlfn.IFS(BI13&lt;70%,0,AND(BI13&gt;=70%,BI13&lt;=120%),BI13*7.5%,BI13&gt;120%,120%*7.5%))+(_xlfn.IFS(BK13&lt;70%,0,AND(BK13&gt;=70%,BK13&lt;=120%),BK13*12.5%,BK13&gt;120%,120%*12.5%))+(_xlfn.IFS(BL13&lt;70%,0,AND(BL13&gt;=70%,BL13&lt;=120%),BL13*12.5%,BL13&gt;120%,120%*12.5%))</f>
        <v>0.43960858553773957</v>
      </c>
      <c r="BP13" s="50">
        <f t="shared" si="10"/>
        <v>4068.0828994930498</v>
      </c>
      <c r="BQ13" s="82">
        <f t="shared" si="13"/>
        <v>1851.5595066359074</v>
      </c>
    </row>
    <row r="14" spans="1:70" x14ac:dyDescent="0.25">
      <c r="A14" t="s">
        <v>9</v>
      </c>
      <c r="B14" s="114">
        <v>1103432.92</v>
      </c>
      <c r="C14" s="126">
        <v>1079294.125757996</v>
      </c>
      <c r="D14" s="49">
        <v>131</v>
      </c>
      <c r="E14" s="49">
        <v>111</v>
      </c>
      <c r="F14" s="126">
        <v>885343.94</v>
      </c>
      <c r="G14" s="126">
        <v>647352.11018000217</v>
      </c>
      <c r="H14" s="127">
        <v>117</v>
      </c>
      <c r="I14" s="49">
        <v>94</v>
      </c>
      <c r="J14" s="126">
        <f>'Apuração Dezembro'!B15</f>
        <v>493750.44</v>
      </c>
      <c r="K14" s="126">
        <f>'Apuração Dezembro'!C15</f>
        <v>242222.26998599977</v>
      </c>
      <c r="L14" s="49">
        <f>'Apuração Dezembro'!E15</f>
        <v>107</v>
      </c>
      <c r="M14" s="49">
        <f>'Apuração Dezembro'!F15</f>
        <v>43</v>
      </c>
      <c r="N14" s="11">
        <f>'Apuração Dezembro'!D15</f>
        <v>0.49057631216693148</v>
      </c>
      <c r="O14" s="12">
        <f>'Apuração Dezembro'!G15</f>
        <v>0.40186915887850466</v>
      </c>
      <c r="P14" s="22"/>
      <c r="Q14" s="114">
        <v>144961.71</v>
      </c>
      <c r="R14" s="126">
        <v>86357.050778000179</v>
      </c>
      <c r="S14" s="49">
        <v>89</v>
      </c>
      <c r="T14" s="49">
        <v>93</v>
      </c>
      <c r="U14" s="126">
        <v>76313.240000000005</v>
      </c>
      <c r="V14" s="126">
        <v>47672.355792000038</v>
      </c>
      <c r="W14" s="125">
        <v>73</v>
      </c>
      <c r="X14" s="31">
        <v>61</v>
      </c>
      <c r="Y14" s="126">
        <f>'Apuração Dezembro'!I15</f>
        <v>48800.92</v>
      </c>
      <c r="Z14" s="126">
        <f>'Apuração Dezembro'!J15</f>
        <v>20739.011000000002</v>
      </c>
      <c r="AA14" s="49">
        <f>'Apuração Dezembro'!L15</f>
        <v>64</v>
      </c>
      <c r="AB14" s="49">
        <f>'Apuração Dezembro'!M15</f>
        <v>34</v>
      </c>
      <c r="AC14" s="11">
        <f>'Apuração Dezembro'!K15</f>
        <v>0.42497172184458826</v>
      </c>
      <c r="AD14" s="12">
        <f>'Apuração Dezembro'!N15</f>
        <v>0.53125</v>
      </c>
      <c r="AE14" s="22"/>
      <c r="AF14" s="114">
        <v>54429.01</v>
      </c>
      <c r="AG14" s="126">
        <v>42742.362770000022</v>
      </c>
      <c r="AH14" s="1">
        <v>83</v>
      </c>
      <c r="AI14" s="1">
        <v>78</v>
      </c>
      <c r="AJ14" s="126">
        <v>43039.58</v>
      </c>
      <c r="AK14" s="126">
        <v>25832.161600000014</v>
      </c>
      <c r="AL14" s="125">
        <v>70</v>
      </c>
      <c r="AM14" s="31">
        <v>52</v>
      </c>
      <c r="AN14" s="126">
        <f>'Apuração Dezembro'!P15</f>
        <v>31577.06</v>
      </c>
      <c r="AO14" s="126">
        <f>'Apuração Dezembro'!Q15</f>
        <v>9915.0358000000033</v>
      </c>
      <c r="AP14" s="1">
        <f>'Apuração Dezembro'!S15</f>
        <v>26</v>
      </c>
      <c r="AQ14" s="31">
        <f>'Apuração Dezembro'!T15</f>
        <v>30</v>
      </c>
      <c r="AR14" s="42">
        <f>'Apuração Dezembro'!R15</f>
        <v>0.31399490009519576</v>
      </c>
      <c r="AS14" s="12">
        <f>'Apuração Dezembro'!U15</f>
        <v>1.1538461538461537</v>
      </c>
      <c r="AU14" s="27"/>
      <c r="AV14" s="24">
        <v>0.84163711663644991</v>
      </c>
      <c r="AW14" s="24">
        <v>0.6159101610552381</v>
      </c>
      <c r="AX14" s="24">
        <f>'Apuração Dezembro'!X15</f>
        <v>0.14423076923076922</v>
      </c>
      <c r="AY14" s="50">
        <f t="shared" ref="AY14" si="15">AV14*(AU14/2)</f>
        <v>0</v>
      </c>
      <c r="AZ14" s="50">
        <f t="shared" ref="AZ14" si="16">AW14*(AU14/2)</f>
        <v>0</v>
      </c>
      <c r="BA14" s="29">
        <f t="shared" ref="BA14" si="17">AX14*(AU14/2)</f>
        <v>0</v>
      </c>
      <c r="BC14" s="80">
        <f t="shared" ref="BC14" si="18">SUM(AY14:BA14)</f>
        <v>0</v>
      </c>
      <c r="BE14" s="81">
        <f t="shared" si="5"/>
        <v>0.79309037444381703</v>
      </c>
      <c r="BF14" s="12">
        <f t="shared" si="12"/>
        <v>0.69859154929577461</v>
      </c>
      <c r="BH14" s="81">
        <f t="shared" si="6"/>
        <v>0.57305533282184828</v>
      </c>
      <c r="BI14" s="12">
        <f t="shared" si="7"/>
        <v>0.83185840707964598</v>
      </c>
      <c r="BK14" s="81">
        <f t="shared" si="8"/>
        <v>0.60823096454626735</v>
      </c>
      <c r="BL14" s="12">
        <f t="shared" si="9"/>
        <v>0.8938547486033519</v>
      </c>
      <c r="BN14" s="133">
        <v>3268.08</v>
      </c>
      <c r="BO14" s="24" cm="1">
        <f t="array" ref="BO14">(_xlfn.IFS(BE14&lt;70%,0,AND(BE14&gt;=70%,BE14&lt;=120%),BE14*30%,BE14&gt;120%,120%*30%))+(_xlfn.IFS(BF14&lt;70%,0,AND(BF14&gt;=70%,BF14&lt;=120%),BF14*30%,BF14&gt;120%,120%*30%))+(_xlfn.IFS(BH14&lt;70%,0,AND(BH14&gt;=70%,BH14&lt;=120%),BH14*7.5%,BH14&gt;120%,120%*7.5%))+(_xlfn.IFS(BI14&lt;70%,0,AND(BI14&gt;=70%,BI14&lt;=120%),BI14*7.5%,BI14&gt;120%,120%*7.5%))+(_xlfn.IFS(BK14&lt;70%,0,AND(BK14&gt;=70%,BK14&lt;=120%),BK14*12.5%,BK14&gt;120%,120%*12.5%))+(_xlfn.IFS(BL14&lt;70%,0,AND(BL14&gt;=70%,BL14&lt;=120%),BL14*12.5%,BL14&gt;120%,120%*12.5%))</f>
        <v>0.41204833643953753</v>
      </c>
      <c r="BP14" s="50">
        <f t="shared" si="10"/>
        <v>2019.9103910269857</v>
      </c>
      <c r="BQ14" s="82">
        <f t="shared" si="13"/>
        <v>2019.9103910269857</v>
      </c>
    </row>
    <row r="15" spans="1:70" x14ac:dyDescent="0.25">
      <c r="A15" t="s">
        <v>3</v>
      </c>
      <c r="B15" s="114">
        <v>2127333.36</v>
      </c>
      <c r="C15" s="126">
        <v>1832166.5494980013</v>
      </c>
      <c r="D15" s="49">
        <v>82</v>
      </c>
      <c r="E15" s="49">
        <v>91</v>
      </c>
      <c r="F15" s="126">
        <v>1598710.71</v>
      </c>
      <c r="G15" s="126">
        <v>1060596.3332800001</v>
      </c>
      <c r="H15" s="127">
        <v>80</v>
      </c>
      <c r="I15" s="49">
        <v>39</v>
      </c>
      <c r="J15" s="126">
        <f>'Apuração Dezembro'!B16</f>
        <v>239594</v>
      </c>
      <c r="K15" s="126">
        <f>'Apuração Dezembro'!C16</f>
        <v>93078.559229999984</v>
      </c>
      <c r="L15" s="49">
        <f>'Apuração Dezembro'!E16</f>
        <v>65</v>
      </c>
      <c r="M15" s="49">
        <f>'Apuração Dezembro'!F16</f>
        <v>24</v>
      </c>
      <c r="N15" s="11">
        <f>'Apuração Dezembro'!D16</f>
        <v>0.38848451643196402</v>
      </c>
      <c r="O15" s="12">
        <f>'Apuração Dezembro'!G16</f>
        <v>0.36923076923076925</v>
      </c>
      <c r="P15" s="22"/>
      <c r="Q15" s="114">
        <v>262031.55</v>
      </c>
      <c r="R15" s="126">
        <v>101137.42969999998</v>
      </c>
      <c r="S15" s="49">
        <v>53</v>
      </c>
      <c r="T15" s="49">
        <v>63</v>
      </c>
      <c r="U15" s="126">
        <v>130987.11</v>
      </c>
      <c r="V15" s="126">
        <v>68933.8995</v>
      </c>
      <c r="W15" s="125">
        <v>50</v>
      </c>
      <c r="X15" s="31">
        <v>29</v>
      </c>
      <c r="Y15" s="126">
        <f>'Apuração Dezembro'!I16</f>
        <v>23680.799999999999</v>
      </c>
      <c r="Z15" s="126">
        <f>'Apuração Dezembro'!J16</f>
        <v>17267.638843999994</v>
      </c>
      <c r="AA15" s="49">
        <f>'Apuração Dezembro'!L16</f>
        <v>39</v>
      </c>
      <c r="AB15" s="49">
        <f>'Apuração Dezembro'!M16</f>
        <v>20</v>
      </c>
      <c r="AC15" s="11">
        <f>'Apuração Dezembro'!K16</f>
        <v>0.72918308688895617</v>
      </c>
      <c r="AD15" s="12">
        <f>'Apuração Dezembro'!N16</f>
        <v>0.51282051282051277</v>
      </c>
      <c r="AE15" s="22"/>
      <c r="AF15" s="114">
        <v>152599.26999999999</v>
      </c>
      <c r="AG15" s="126">
        <v>83775.545655999929</v>
      </c>
      <c r="AH15" s="1">
        <v>50</v>
      </c>
      <c r="AI15" s="1">
        <v>57</v>
      </c>
      <c r="AJ15" s="126">
        <v>107529.37</v>
      </c>
      <c r="AK15" s="126">
        <v>36981.612448</v>
      </c>
      <c r="AL15" s="125">
        <v>48</v>
      </c>
      <c r="AM15" s="31">
        <v>21</v>
      </c>
      <c r="AN15" s="126">
        <f>'Apuração Dezembro'!P16</f>
        <v>15322.87</v>
      </c>
      <c r="AO15" s="126">
        <f>'Apuração Dezembro'!Q16</f>
        <v>10921.027799999993</v>
      </c>
      <c r="AP15" s="1">
        <f>'Apuração Dezembro'!S16</f>
        <v>16</v>
      </c>
      <c r="AQ15" s="31">
        <f>'Apuração Dezembro'!T16</f>
        <v>13</v>
      </c>
      <c r="AR15" s="42">
        <f>'Apuração Dezembro'!R16</f>
        <v>0.71272730239178383</v>
      </c>
      <c r="AS15" s="12">
        <f>'Apuração Dezembro'!U16</f>
        <v>0.8125</v>
      </c>
      <c r="AU15" s="27">
        <f t="shared" si="1"/>
        <v>4062.16</v>
      </c>
      <c r="AV15" s="24">
        <v>0.82295287042042531</v>
      </c>
      <c r="AW15" s="24">
        <v>0</v>
      </c>
      <c r="AX15" s="24">
        <f>'Apuração Dezembro'!X16</f>
        <v>0.24534214431564469</v>
      </c>
      <c r="AY15" s="50">
        <f t="shared" si="2"/>
        <v>1671.4831160535173</v>
      </c>
      <c r="AZ15" s="50">
        <f t="shared" si="3"/>
        <v>0</v>
      </c>
      <c r="BA15" s="29">
        <f t="shared" si="4"/>
        <v>498.30952247661958</v>
      </c>
      <c r="BC15" s="80">
        <f t="shared" si="14"/>
        <v>2169.7926385301371</v>
      </c>
      <c r="BE15" s="81">
        <f t="shared" si="5"/>
        <v>0.75292837856178874</v>
      </c>
      <c r="BF15" s="12">
        <f t="shared" si="12"/>
        <v>0.67841409691629961</v>
      </c>
      <c r="BH15" s="81">
        <f t="shared" si="6"/>
        <v>0.44957813970769245</v>
      </c>
      <c r="BI15" s="12">
        <f t="shared" si="7"/>
        <v>0.78873239436619713</v>
      </c>
      <c r="BK15" s="81">
        <f t="shared" si="8"/>
        <v>0.47804488675338874</v>
      </c>
      <c r="BL15" s="12">
        <f t="shared" si="9"/>
        <v>0.79824561403508776</v>
      </c>
      <c r="BN15" s="133">
        <v>4062.16</v>
      </c>
      <c r="BO15" s="24" cm="1">
        <f t="array" ref="BO15">(_xlfn.IFS(BE15&lt;70%,0,AND(BE15&gt;=70%,BE15&lt;=120%),BE15*30%,BE15&gt;120%,120%*30%))+(_xlfn.IFS(BF15&lt;70%,0,AND(BF15&gt;=70%,BF15&lt;=120%),BF15*30%,BF15&gt;120%,120%*30%))+(_xlfn.IFS(BH15&lt;70%,0,AND(BH15&gt;=70%,BH15&lt;=120%),BH15*7.5%,BH15&gt;120%,120%*7.5%))+(_xlfn.IFS(BI15&lt;70%,0,AND(BI15&gt;=70%,BI15&lt;=120%),BI15*7.5%,BI15&gt;120%,120%*7.5%))+(_xlfn.IFS(BK15&lt;70%,0,AND(BK15&gt;=70%,BK15&lt;=120%),BK15*12.5%,BK15&gt;120%,120%*12.5%))+(_xlfn.IFS(BL15&lt;70%,0,AND(BL15&gt;=70%,BL15&lt;=120%),BL15*12.5%,BL15&gt;120%,120%*12.5%))</f>
        <v>0.38481414490038734</v>
      </c>
      <c r="BP15" s="50">
        <f t="shared" si="10"/>
        <v>2344.7649402728362</v>
      </c>
      <c r="BQ15" s="82">
        <f t="shared" si="13"/>
        <v>673.28182421931888</v>
      </c>
    </row>
    <row r="16" spans="1:70" x14ac:dyDescent="0.25">
      <c r="A16" t="s">
        <v>42</v>
      </c>
      <c r="B16" s="114">
        <v>711911.94</v>
      </c>
      <c r="C16" s="126">
        <v>768900.28973500011</v>
      </c>
      <c r="D16" s="49">
        <v>63</v>
      </c>
      <c r="E16" s="49">
        <v>63</v>
      </c>
      <c r="F16" s="126">
        <v>586699.37</v>
      </c>
      <c r="G16" s="126">
        <v>410855.22780000092</v>
      </c>
      <c r="H16" s="127">
        <v>57</v>
      </c>
      <c r="I16" s="49">
        <v>41</v>
      </c>
      <c r="J16" s="126">
        <f>'Apuração Dezembro'!B17</f>
        <v>368399.81999999995</v>
      </c>
      <c r="K16" s="126">
        <f>'Apuração Dezembro'!C17</f>
        <v>177210.42352699986</v>
      </c>
      <c r="L16" s="49">
        <f>'Apuração Dezembro'!E17</f>
        <v>99</v>
      </c>
      <c r="M16" s="49">
        <f>'Apuração Dezembro'!F17</f>
        <v>27</v>
      </c>
      <c r="N16" s="11">
        <f>'Apuração Dezembro'!D17</f>
        <v>0.48102744330059632</v>
      </c>
      <c r="O16" s="12">
        <f>'Apuração Dezembro'!G17</f>
        <v>0.27272727272727271</v>
      </c>
      <c r="P16" s="22"/>
      <c r="Q16" s="114">
        <v>93245.08</v>
      </c>
      <c r="R16" s="126">
        <v>61468.320200000038</v>
      </c>
      <c r="S16" s="49">
        <v>41</v>
      </c>
      <c r="T16" s="49">
        <v>52</v>
      </c>
      <c r="U16" s="126">
        <v>49414.42</v>
      </c>
      <c r="V16" s="126">
        <v>32578.315777000011</v>
      </c>
      <c r="W16" s="125">
        <v>36</v>
      </c>
      <c r="X16" s="31">
        <v>31</v>
      </c>
      <c r="Y16" s="126">
        <f>'Apuração Dezembro'!I17</f>
        <v>36411.61</v>
      </c>
      <c r="Z16" s="126">
        <f>'Apuração Dezembro'!J17</f>
        <v>20296.864800000003</v>
      </c>
      <c r="AA16" s="49">
        <f>'Apuração Dezembro'!L17</f>
        <v>59</v>
      </c>
      <c r="AB16" s="49">
        <f>'Apuração Dezembro'!M17</f>
        <v>19</v>
      </c>
      <c r="AC16" s="11">
        <f>'Apuração Dezembro'!K17</f>
        <v>0.55742838067308753</v>
      </c>
      <c r="AD16" s="12">
        <f>'Apuração Dezembro'!N17</f>
        <v>0.32203389830508472</v>
      </c>
      <c r="AE16" s="22"/>
      <c r="AF16" s="114">
        <v>71327.210000000006</v>
      </c>
      <c r="AG16" s="126">
        <v>52160.692900000016</v>
      </c>
      <c r="AH16" s="1">
        <v>39</v>
      </c>
      <c r="AI16" s="1">
        <v>49</v>
      </c>
      <c r="AJ16" s="126">
        <v>48715.5</v>
      </c>
      <c r="AK16" s="126">
        <v>25753.209945000002</v>
      </c>
      <c r="AL16" s="125">
        <v>34</v>
      </c>
      <c r="AM16" s="31">
        <v>28</v>
      </c>
      <c r="AN16" s="126">
        <f>'Apuração Dezembro'!P17</f>
        <v>23560.46</v>
      </c>
      <c r="AO16" s="126">
        <f>'Apuração Dezembro'!Q17</f>
        <v>16714.292300000001</v>
      </c>
      <c r="AP16" s="1">
        <f>'Apuração Dezembro'!S17</f>
        <v>24</v>
      </c>
      <c r="AQ16" s="31">
        <f>'Apuração Dezembro'!T17</f>
        <v>17</v>
      </c>
      <c r="AR16" s="42">
        <f>'Apuração Dezembro'!R17</f>
        <v>0.70942130586584484</v>
      </c>
      <c r="AS16" s="12">
        <f>'Apuração Dezembro'!U17</f>
        <v>0.70833333333333337</v>
      </c>
      <c r="AU16" s="27">
        <f t="shared" si="1"/>
        <v>3000</v>
      </c>
      <c r="AV16" s="24">
        <v>0.95542584544195264</v>
      </c>
      <c r="AW16" s="24">
        <v>0.59339869576590432</v>
      </c>
      <c r="AX16" s="24">
        <f>'Apuração Dezembro'!X17</f>
        <v>0.17721932989989728</v>
      </c>
      <c r="AY16" s="50">
        <f t="shared" si="2"/>
        <v>1433.138768162929</v>
      </c>
      <c r="AZ16" s="50">
        <f t="shared" si="3"/>
        <v>890.09804364885645</v>
      </c>
      <c r="BA16" s="29">
        <f t="shared" si="4"/>
        <v>265.82899484984591</v>
      </c>
      <c r="BC16" s="80">
        <f t="shared" si="14"/>
        <v>2589.0658066616315</v>
      </c>
      <c r="BE16" s="81">
        <f t="shared" si="5"/>
        <v>0.81401132640428198</v>
      </c>
      <c r="BF16" s="12">
        <f t="shared" si="12"/>
        <v>0.59817351598173518</v>
      </c>
      <c r="BH16" s="81">
        <f t="shared" si="6"/>
        <v>0.63853684034794933</v>
      </c>
      <c r="BI16" s="12">
        <f t="shared" si="7"/>
        <v>0.75</v>
      </c>
      <c r="BK16" s="81">
        <f t="shared" si="8"/>
        <v>0.65895617168478948</v>
      </c>
      <c r="BL16" s="12">
        <f t="shared" si="9"/>
        <v>0.96907216494845361</v>
      </c>
      <c r="BN16" s="133">
        <v>3000</v>
      </c>
      <c r="BO16" s="24" cm="1">
        <f t="array" ref="BO16">(_xlfn.IFS(BE16&lt;70%,0,AND(BE16&gt;=70%,BE16&lt;=120%),BE16*30%,BE16&gt;120%,120%*30%))+(_xlfn.IFS(BF16&lt;70%,0,AND(BF16&gt;=70%,BF16&lt;=120%),BF16*30%,BF16&gt;120%,120%*30%))+(_xlfn.IFS(BH16&lt;70%,0,AND(BH16&gt;=70%,BH16&lt;=120%),BH16*7.5%,BH16&gt;120%,120%*7.5%))+(_xlfn.IFS(BI16&lt;70%,0,AND(BI16&gt;=70%,BI16&lt;=120%),BI16*7.5%,BI16&gt;120%,120%*7.5%))+(_xlfn.IFS(BK16&lt;70%,0,AND(BK16&gt;=70%,BK16&lt;=120%),BK16*12.5%,BK16&gt;120%,120%*12.5%))+(_xlfn.IFS(BL16&lt;70%,0,AND(BL16&gt;=70%,BL16&lt;=120%),BL16*12.5%,BL16&gt;120%,120%*12.5%))</f>
        <v>0.42158741853984127</v>
      </c>
      <c r="BP16" s="50">
        <f t="shared" si="10"/>
        <v>1897.1433834292857</v>
      </c>
      <c r="BQ16" s="82">
        <f t="shared" si="13"/>
        <v>265.82899484984591</v>
      </c>
    </row>
    <row r="17" spans="1:69" x14ac:dyDescent="0.25">
      <c r="A17" t="s">
        <v>40</v>
      </c>
      <c r="B17" s="114">
        <v>2658430</v>
      </c>
      <c r="C17" s="126">
        <v>2687149.2118160008</v>
      </c>
      <c r="D17" s="49">
        <v>0</v>
      </c>
      <c r="E17" s="49">
        <v>26</v>
      </c>
      <c r="F17" s="126">
        <v>1910864.99</v>
      </c>
      <c r="G17" s="126">
        <v>3723000.2816640022</v>
      </c>
      <c r="H17" s="127">
        <v>0</v>
      </c>
      <c r="I17" s="49">
        <v>25</v>
      </c>
      <c r="J17" s="126">
        <f>'Apuração Dezembro'!B18</f>
        <v>661695.8600000001</v>
      </c>
      <c r="K17" s="126">
        <f>'Apuração Dezembro'!C18</f>
        <v>2236601.254127997</v>
      </c>
      <c r="L17" s="49">
        <f>'Apuração Dezembro'!E18</f>
        <v>0</v>
      </c>
      <c r="M17" s="49">
        <f>'Apuração Dezembro'!F18</f>
        <v>31</v>
      </c>
      <c r="N17" s="11">
        <f>'Apuração Dezembro'!D18</f>
        <v>3.3801046512940198</v>
      </c>
      <c r="O17" s="12">
        <f>'Apuração Dezembro'!G18</f>
        <v>0</v>
      </c>
      <c r="P17" s="22"/>
      <c r="Q17" s="114">
        <v>71000</v>
      </c>
      <c r="R17" s="126">
        <v>82345.045879999991</v>
      </c>
      <c r="S17" s="49">
        <v>0</v>
      </c>
      <c r="T17" s="49">
        <v>7</v>
      </c>
      <c r="U17" s="126">
        <v>61869.66</v>
      </c>
      <c r="V17" s="126">
        <v>69346.59199999999</v>
      </c>
      <c r="W17" s="125">
        <v>0</v>
      </c>
      <c r="X17" s="31">
        <v>9</v>
      </c>
      <c r="Y17" s="126">
        <f>'Apuração Dezembro'!I18</f>
        <v>100000</v>
      </c>
      <c r="Z17" s="126">
        <f>'Apuração Dezembro'!J18</f>
        <v>248396.24024399999</v>
      </c>
      <c r="AA17" s="49">
        <f>'Apuração Dezembro'!L18</f>
        <v>0</v>
      </c>
      <c r="AB17" s="49">
        <f>'Apuração Dezembro'!M18</f>
        <v>8</v>
      </c>
      <c r="AC17" s="11">
        <f>'Apuração Dezembro'!K18</f>
        <v>2.48396240244</v>
      </c>
      <c r="AD17" s="12">
        <f>'Apuração Dezembro'!N18</f>
        <v>0</v>
      </c>
      <c r="AE17" s="22"/>
      <c r="AF17" s="114">
        <v>81447</v>
      </c>
      <c r="AG17" s="126">
        <v>221451.82946399998</v>
      </c>
      <c r="AH17" s="1">
        <v>0</v>
      </c>
      <c r="AI17" s="1">
        <v>23</v>
      </c>
      <c r="AJ17" s="126">
        <v>83799.5</v>
      </c>
      <c r="AK17" s="126">
        <v>66757.313951999968</v>
      </c>
      <c r="AL17" s="125">
        <v>0</v>
      </c>
      <c r="AM17" s="31">
        <v>15</v>
      </c>
      <c r="AN17" s="126">
        <f>'Apuração Dezembro'!P18</f>
        <v>5000</v>
      </c>
      <c r="AO17" s="126">
        <f>'Apuração Dezembro'!Q18</f>
        <v>22594.89238400001</v>
      </c>
      <c r="AP17" s="1">
        <f>'Apuração Dezembro'!S18</f>
        <v>0</v>
      </c>
      <c r="AQ17" s="31">
        <f>'Apuração Dezembro'!T18</f>
        <v>15</v>
      </c>
      <c r="AR17" s="42">
        <f>'Apuração Dezembro'!R18</f>
        <v>4.5189784768000019</v>
      </c>
      <c r="AS17" s="12">
        <f>'Apuração Dezembro'!U18</f>
        <v>0</v>
      </c>
      <c r="AU17" s="27">
        <f t="shared" si="1"/>
        <v>12000</v>
      </c>
      <c r="AV17" s="24">
        <v>1.0804502502412967</v>
      </c>
      <c r="AW17" s="24">
        <v>1.0872853130396078</v>
      </c>
      <c r="AX17" s="24">
        <f>'Apuração Dezembro'!X18</f>
        <v>1.2</v>
      </c>
      <c r="AY17" s="50">
        <f t="shared" si="2"/>
        <v>6482.7015014477802</v>
      </c>
      <c r="AZ17" s="50">
        <f t="shared" si="3"/>
        <v>6523.7118782376474</v>
      </c>
      <c r="BA17" s="29">
        <f t="shared" si="4"/>
        <v>7200</v>
      </c>
      <c r="BC17" s="80">
        <f t="shared" si="14"/>
        <v>20206.413379685429</v>
      </c>
      <c r="BE17" s="81">
        <f t="shared" si="5"/>
        <v>1.6529852556725457</v>
      </c>
      <c r="BF17" s="12" t="e">
        <f t="shared" si="12"/>
        <v>#DIV/0!</v>
      </c>
      <c r="BH17" s="81">
        <f t="shared" si="6"/>
        <v>1.7180764472452099</v>
      </c>
      <c r="BI17" s="12" t="e">
        <f t="shared" si="7"/>
        <v>#DIV/0!</v>
      </c>
      <c r="BK17" s="81">
        <f t="shared" si="8"/>
        <v>1.8256118968671893</v>
      </c>
      <c r="BL17" s="12" t="e">
        <f t="shared" si="9"/>
        <v>#DIV/0!</v>
      </c>
      <c r="BN17" s="133">
        <v>12000</v>
      </c>
      <c r="BO17" s="24" cm="1">
        <f t="array" ref="BO17">(_xlfn.IFS(BE17&lt;70%,0,AND(BE17&gt;=70%,BE17&lt;=120%),BE17*60%,BE17&gt;120%,120%*60%))+(_xlfn.IFS(BH17&lt;70%,0,AND(BH17&gt;=70%,BH17&lt;=120%),BH17*15%,BH17&gt;120%,120%*15%))+(_xlfn.IFS(BK17&lt;70%,0,AND(BK17&gt;=70%,BK17&lt;=120%),BK17*25%,BK17&gt;120%,120%*25%))</f>
        <v>1.2</v>
      </c>
      <c r="BP17" s="50">
        <f t="shared" si="10"/>
        <v>21600</v>
      </c>
      <c r="BQ17" s="82">
        <f t="shared" si="13"/>
        <v>8593.5866203145706</v>
      </c>
    </row>
    <row r="18" spans="1:69" x14ac:dyDescent="0.25">
      <c r="A18" t="s">
        <v>50</v>
      </c>
      <c r="B18" s="114">
        <v>482896</v>
      </c>
      <c r="C18" s="126">
        <v>554987.2691640004</v>
      </c>
      <c r="D18" s="49">
        <v>0</v>
      </c>
      <c r="E18" s="49">
        <v>23</v>
      </c>
      <c r="F18" s="126">
        <v>486505.94</v>
      </c>
      <c r="G18" s="126">
        <v>473720.65246200003</v>
      </c>
      <c r="H18" s="127">
        <v>0</v>
      </c>
      <c r="I18" s="49">
        <v>26</v>
      </c>
      <c r="J18" s="126">
        <f>'Apuração Dezembro'!B20</f>
        <v>136998</v>
      </c>
      <c r="K18" s="126">
        <f>'Apuração Dezembro'!C20</f>
        <v>137191.93807199999</v>
      </c>
      <c r="L18" s="49">
        <f>'Apuração Dezembro'!E20</f>
        <v>0</v>
      </c>
      <c r="M18" s="49">
        <f>'Apuração Dezembro'!F20</f>
        <v>12</v>
      </c>
      <c r="N18" s="11">
        <f>'Apuração Dezembro'!D20</f>
        <v>1.0014156270310515</v>
      </c>
      <c r="O18" s="12">
        <f>'Apuração Dezembro'!G20</f>
        <v>0</v>
      </c>
      <c r="P18" s="22"/>
      <c r="Q18" s="114">
        <v>24314</v>
      </c>
      <c r="R18" s="126">
        <v>16148.400000000005</v>
      </c>
      <c r="S18" s="49">
        <v>0</v>
      </c>
      <c r="T18" s="49">
        <v>7</v>
      </c>
      <c r="U18" s="126">
        <v>15311.18</v>
      </c>
      <c r="V18" s="126">
        <v>21916.107</v>
      </c>
      <c r="W18" s="125">
        <v>0</v>
      </c>
      <c r="X18" s="31">
        <v>9</v>
      </c>
      <c r="Y18" s="126">
        <f>'Apuração Dezembro'!I20</f>
        <v>2500</v>
      </c>
      <c r="Z18" s="126">
        <f>'Apuração Dezembro'!J20</f>
        <v>7601.1839999999993</v>
      </c>
      <c r="AA18" s="49">
        <f>'Apuração Dezembro'!L20</f>
        <v>0</v>
      </c>
      <c r="AB18" s="49">
        <f>'Apuração Dezembro'!M20</f>
        <v>6</v>
      </c>
      <c r="AC18" s="11">
        <f>'Apuração Dezembro'!K20</f>
        <v>3.0404735999999999</v>
      </c>
      <c r="AD18" s="12">
        <f>'Apuração Dezembro'!N20</f>
        <v>0</v>
      </c>
      <c r="AE18" s="22"/>
      <c r="AF18" s="114">
        <v>19482</v>
      </c>
      <c r="AG18" s="126">
        <v>22294.711859999996</v>
      </c>
      <c r="AH18" s="1">
        <v>0</v>
      </c>
      <c r="AI18" s="1">
        <v>13</v>
      </c>
      <c r="AJ18" s="126">
        <v>20145.18</v>
      </c>
      <c r="AK18" s="126">
        <v>30753.891119999993</v>
      </c>
      <c r="AL18" s="125">
        <v>0</v>
      </c>
      <c r="AM18" s="31">
        <v>16</v>
      </c>
      <c r="AN18" s="126">
        <f>'Apuração Dezembro'!P20</f>
        <v>5000</v>
      </c>
      <c r="AO18" s="126">
        <f>'Apuração Dezembro'!Q20</f>
        <v>15415.786199999999</v>
      </c>
      <c r="AP18" s="1">
        <f>'Apuração Dezembro'!S20</f>
        <v>0</v>
      </c>
      <c r="AQ18" s="31">
        <f>'Apuração Dezembro'!T20</f>
        <v>8</v>
      </c>
      <c r="AR18" s="42">
        <f>'Apuração Dezembro'!R20</f>
        <v>3.0831572399999998</v>
      </c>
      <c r="AS18" s="12">
        <f>'Apuração Dezembro'!U20</f>
        <v>0</v>
      </c>
      <c r="AU18" s="27">
        <f t="shared" ref="AU18:AU21" si="19">BN18</f>
        <v>4200</v>
      </c>
      <c r="AV18" s="24">
        <v>1.1255745978024001</v>
      </c>
      <c r="AW18" s="24">
        <v>1.0642321092260456</v>
      </c>
      <c r="AX18" s="24">
        <f>'Apuração Dezembro'!X20</f>
        <v>1.0808493762186309</v>
      </c>
      <c r="AY18" s="50">
        <f t="shared" si="2"/>
        <v>2363.70665538504</v>
      </c>
      <c r="AZ18" s="50">
        <f t="shared" si="3"/>
        <v>2234.8874293746958</v>
      </c>
      <c r="BA18" s="29">
        <f t="shared" si="4"/>
        <v>2269.7836900591246</v>
      </c>
      <c r="BC18" s="80">
        <f t="shared" si="14"/>
        <v>6868.3777748188604</v>
      </c>
      <c r="BE18" s="81">
        <f t="shared" si="5"/>
        <v>1.0537779491365487</v>
      </c>
      <c r="BF18" s="12" t="e">
        <f t="shared" si="12"/>
        <v>#DIV/0!</v>
      </c>
      <c r="BH18" s="81">
        <f t="shared" si="6"/>
        <v>1.0840473797381995</v>
      </c>
      <c r="BI18" s="12" t="e">
        <f t="shared" si="7"/>
        <v>#DIV/0!</v>
      </c>
      <c r="BK18" s="81">
        <f t="shared" si="8"/>
        <v>1.5341410588793642</v>
      </c>
      <c r="BL18" s="12" t="e">
        <f t="shared" si="9"/>
        <v>#DIV/0!</v>
      </c>
      <c r="BN18" s="133">
        <v>4200</v>
      </c>
      <c r="BO18" s="24" cm="1">
        <f t="array" ref="BO18">(_xlfn.IFS(BE18&lt;70%,0,AND(BE18&gt;=70%,BE18&lt;=120%),BE18*60%,BE18&gt;120%,120%*60%))+(_xlfn.IFS(BH18&lt;70%,0,AND(BH18&gt;=70%,BH18&lt;=120%),BH18*15%,BH18&gt;120%,120%*15%))+(_xlfn.IFS(BK18&lt;70%,0,AND(BK18&gt;=70%,BK18&lt;=120%),BK18*25%,BK18&gt;120%,120%*25%))</f>
        <v>1.0948738764426591</v>
      </c>
      <c r="BP18" s="50">
        <f t="shared" si="10"/>
        <v>6897.705421588752</v>
      </c>
      <c r="BQ18" s="82">
        <f t="shared" si="13"/>
        <v>2299.1113368290153</v>
      </c>
    </row>
    <row r="19" spans="1:69" x14ac:dyDescent="0.25">
      <c r="A19" t="s">
        <v>5</v>
      </c>
      <c r="B19" s="114">
        <v>1011993.62</v>
      </c>
      <c r="C19" s="126">
        <v>1244146.8971160031</v>
      </c>
      <c r="D19" s="49">
        <v>90</v>
      </c>
      <c r="E19" s="49">
        <v>90</v>
      </c>
      <c r="F19" s="126">
        <v>876385.36</v>
      </c>
      <c r="G19" s="126">
        <v>445299.86655799981</v>
      </c>
      <c r="H19" s="127">
        <v>78</v>
      </c>
      <c r="I19" s="49">
        <v>49</v>
      </c>
      <c r="J19" s="126">
        <f>'Apuração Dezembro'!B21</f>
        <v>225200.35</v>
      </c>
      <c r="K19" s="126">
        <f>'Apuração Dezembro'!C21</f>
        <v>240104.44759999969</v>
      </c>
      <c r="L19" s="49">
        <f>'Apuração Dezembro'!E21</f>
        <v>69</v>
      </c>
      <c r="M19" s="49">
        <f>'Apuração Dezembro'!F21</f>
        <v>39</v>
      </c>
      <c r="N19" s="11">
        <f>'Apuração Dezembro'!D21</f>
        <v>1.0661815028262598</v>
      </c>
      <c r="O19" s="12">
        <f>'Apuração Dezembro'!G21</f>
        <v>0.56521739130434778</v>
      </c>
      <c r="P19" s="22"/>
      <c r="Q19" s="114">
        <v>222615.48</v>
      </c>
      <c r="R19" s="126">
        <v>189166.92788500019</v>
      </c>
      <c r="S19" s="49">
        <v>59</v>
      </c>
      <c r="T19" s="49">
        <v>72</v>
      </c>
      <c r="U19" s="126">
        <v>118521.21</v>
      </c>
      <c r="V19" s="126">
        <v>62279.241274000022</v>
      </c>
      <c r="W19" s="125">
        <v>49</v>
      </c>
      <c r="X19" s="31">
        <v>40</v>
      </c>
      <c r="Y19" s="126">
        <f>'Apuração Dezembro'!I21</f>
        <v>22258.17</v>
      </c>
      <c r="Z19" s="126">
        <f>'Apuração Dezembro'!J21</f>
        <v>35219.501747999973</v>
      </c>
      <c r="AA19" s="49">
        <f>'Apuração Dezembro'!L21</f>
        <v>41</v>
      </c>
      <c r="AB19" s="49">
        <f>'Apuração Dezembro'!M21</f>
        <v>31</v>
      </c>
      <c r="AC19" s="11">
        <f>'Apuração Dezembro'!K21</f>
        <v>1.5823179420410562</v>
      </c>
      <c r="AD19" s="12">
        <f>'Apuração Dezembro'!N21</f>
        <v>0.75609756097560976</v>
      </c>
      <c r="AE19" s="22"/>
      <c r="AF19" s="114">
        <v>62290.39</v>
      </c>
      <c r="AG19" s="126">
        <v>46131.817282999997</v>
      </c>
      <c r="AH19" s="1">
        <v>56</v>
      </c>
      <c r="AI19" s="1">
        <v>59</v>
      </c>
      <c r="AJ19" s="126">
        <v>51093.78</v>
      </c>
      <c r="AK19" s="126">
        <v>19554.430599999996</v>
      </c>
      <c r="AL19" s="125">
        <v>47</v>
      </c>
      <c r="AM19" s="31">
        <v>27</v>
      </c>
      <c r="AN19" s="126">
        <f>'Apuração Dezembro'!P21</f>
        <v>14402.35</v>
      </c>
      <c r="AO19" s="126">
        <f>'Apuração Dezembro'!Q21</f>
        <v>18291.780159999995</v>
      </c>
      <c r="AP19" s="1">
        <f>'Apuração Dezembro'!S21</f>
        <v>16</v>
      </c>
      <c r="AQ19" s="31">
        <f>'Apuração Dezembro'!T21</f>
        <v>24</v>
      </c>
      <c r="AR19" s="42">
        <f>'Apuração Dezembro'!R21</f>
        <v>1.2700552451509646</v>
      </c>
      <c r="AS19" s="12">
        <f>'Apuração Dezembro'!U21</f>
        <v>1.5</v>
      </c>
      <c r="AU19" s="27">
        <f t="shared" si="19"/>
        <v>5269.58</v>
      </c>
      <c r="AV19" s="24">
        <v>1.0380015903317024</v>
      </c>
      <c r="AW19" s="24">
        <v>6.1224489795918366E-2</v>
      </c>
      <c r="AX19" s="24">
        <f>'Apuração Dezembro'!X21</f>
        <v>0.76656176792104869</v>
      </c>
      <c r="AY19" s="50">
        <f t="shared" si="2"/>
        <v>2734.9162101900661</v>
      </c>
      <c r="AZ19" s="50">
        <f t="shared" si="3"/>
        <v>161.31367346938774</v>
      </c>
      <c r="BA19" s="29">
        <f t="shared" si="4"/>
        <v>2019.7292805006998</v>
      </c>
      <c r="BC19" s="80">
        <f t="shared" si="14"/>
        <v>4915.9591641601537</v>
      </c>
      <c r="BE19" s="81">
        <f t="shared" si="5"/>
        <v>0.91293058362470003</v>
      </c>
      <c r="BF19" s="12">
        <f t="shared" si="12"/>
        <v>0.75105485232067515</v>
      </c>
      <c r="BH19" s="81">
        <f t="shared" si="6"/>
        <v>0.78885450087819131</v>
      </c>
      <c r="BI19" s="12">
        <f t="shared" si="7"/>
        <v>0.95973154362416102</v>
      </c>
      <c r="BK19" s="81">
        <f t="shared" si="8"/>
        <v>0.65717438774449743</v>
      </c>
      <c r="BL19" s="12">
        <f t="shared" si="9"/>
        <v>0.92436974789915971</v>
      </c>
      <c r="BN19" s="133">
        <v>5269.58</v>
      </c>
      <c r="BO19" s="24" cm="1">
        <f t="array" ref="BO19">(_xlfn.IFS(BE19&lt;70%,0,AND(BE19&gt;=70%,BE19&lt;=120%),BE19*30%,BE19&gt;120%,120%*30%))+(_xlfn.IFS(BF19&lt;70%,0,AND(BF19&gt;=70%,BF19&lt;=120%),BF19*30%,BF19&gt;120%,120%*30%))+(_xlfn.IFS(BH19&lt;70%,0,AND(BH19&gt;=70%,BH19&lt;=120%),BH19*7.5%,BH19&gt;120%,120%*7.5%))+(_xlfn.IFS(BI19&lt;70%,0,AND(BI19&gt;=70%,BI19&lt;=120%),BI19*7.5%,BI19&gt;120%,120%*7.5%))+(_xlfn.IFS(BK19&lt;70%,0,AND(BK19&gt;=70%,BK19&lt;=120%),BK19*12.5%,BK19&gt;120%,120%*12.5%))+(_xlfn.IFS(BL19&lt;70%,0,AND(BL19&gt;=70%,BL19&lt;=120%),BL19*12.5%,BL19&gt;120%,120%*12.5%))</f>
        <v>0.74588580260868387</v>
      </c>
      <c r="BP19" s="50">
        <f t="shared" si="10"/>
        <v>5895.7573615660021</v>
      </c>
      <c r="BQ19" s="82">
        <f t="shared" si="13"/>
        <v>2999.5274779065485</v>
      </c>
    </row>
    <row r="20" spans="1:69" x14ac:dyDescent="0.25">
      <c r="A20" t="s">
        <v>41</v>
      </c>
      <c r="B20" s="114">
        <v>660060.01</v>
      </c>
      <c r="C20" s="126">
        <v>845435.66562700074</v>
      </c>
      <c r="D20" s="49">
        <v>69</v>
      </c>
      <c r="E20" s="49">
        <v>66</v>
      </c>
      <c r="F20" s="126">
        <v>543552.29</v>
      </c>
      <c r="G20" s="126">
        <v>321908.00374200003</v>
      </c>
      <c r="H20" s="127">
        <v>63</v>
      </c>
      <c r="I20" s="49">
        <v>39</v>
      </c>
      <c r="J20" s="126">
        <f>'Apuração Dezembro'!B22</f>
        <v>274118.05</v>
      </c>
      <c r="K20" s="126">
        <f>'Apuração Dezembro'!C22</f>
        <v>78998.460000000006</v>
      </c>
      <c r="L20" s="49">
        <f>'Apuração Dezembro'!E22</f>
        <v>51</v>
      </c>
      <c r="M20" s="49">
        <f>'Apuração Dezembro'!F22</f>
        <v>19</v>
      </c>
      <c r="N20" s="11">
        <f>'Apuração Dezembro'!D22</f>
        <v>0.28819138323798821</v>
      </c>
      <c r="O20" s="12">
        <f>'Apuração Dezembro'!G22</f>
        <v>0.37254901960784315</v>
      </c>
      <c r="P20" s="22"/>
      <c r="Q20" s="114">
        <v>72625.279999999999</v>
      </c>
      <c r="R20" s="126">
        <v>49014.159953999981</v>
      </c>
      <c r="S20" s="49">
        <v>41</v>
      </c>
      <c r="T20" s="49">
        <v>44</v>
      </c>
      <c r="U20" s="126">
        <v>43523.11</v>
      </c>
      <c r="V20" s="126">
        <v>22333.657499999983</v>
      </c>
      <c r="W20" s="125">
        <v>40</v>
      </c>
      <c r="X20" s="31">
        <v>23</v>
      </c>
      <c r="Y20" s="126">
        <f>'Apuração Dezembro'!I22</f>
        <v>27093.06</v>
      </c>
      <c r="Z20" s="126">
        <f>'Apuração Dezembro'!J22</f>
        <v>3011.16</v>
      </c>
      <c r="AA20" s="49">
        <f>'Apuração Dezembro'!L22</f>
        <v>31</v>
      </c>
      <c r="AB20" s="49">
        <f>'Apuração Dezembro'!M22</f>
        <v>9</v>
      </c>
      <c r="AC20" s="11">
        <f>'Apuração Dezembro'!K22</f>
        <v>0.11114137716448418</v>
      </c>
      <c r="AD20" s="12">
        <f>'Apuração Dezembro'!N22</f>
        <v>0.29032258064516131</v>
      </c>
      <c r="AE20" s="22"/>
      <c r="AF20" s="114">
        <v>42917.61</v>
      </c>
      <c r="AG20" s="126">
        <v>36141.549551999968</v>
      </c>
      <c r="AH20" s="1">
        <v>38</v>
      </c>
      <c r="AI20" s="1">
        <v>40</v>
      </c>
      <c r="AJ20" s="126">
        <v>34589.519999999997</v>
      </c>
      <c r="AK20" s="126">
        <v>18079.004569999997</v>
      </c>
      <c r="AL20" s="125">
        <v>38</v>
      </c>
      <c r="AM20" s="31">
        <v>21</v>
      </c>
      <c r="AN20" s="126">
        <f>'Apuração Dezembro'!P22</f>
        <v>17530.810000000001</v>
      </c>
      <c r="AO20" s="126">
        <f>'Apuração Dezembro'!Q22</f>
        <v>5388.54</v>
      </c>
      <c r="AP20" s="1">
        <f>'Apuração Dezembro'!S22</f>
        <v>12</v>
      </c>
      <c r="AQ20" s="31">
        <f>'Apuração Dezembro'!T22</f>
        <v>9</v>
      </c>
      <c r="AR20" s="42">
        <f>'Apuração Dezembro'!R22</f>
        <v>0.30737541505498034</v>
      </c>
      <c r="AS20" s="12">
        <f>'Apuração Dezembro'!U22</f>
        <v>0.75</v>
      </c>
      <c r="AU20" s="27">
        <f>BN20</f>
        <v>3000</v>
      </c>
      <c r="AV20" s="24">
        <v>0.96428760939477132</v>
      </c>
      <c r="AW20" s="24">
        <v>0.70122012381960419</v>
      </c>
      <c r="AX20" s="24">
        <f>'Apuração Dezembro'!X22</f>
        <v>9.375E-2</v>
      </c>
      <c r="AY20" s="50">
        <f t="shared" si="2"/>
        <v>1446.431414092157</v>
      </c>
      <c r="AZ20" s="50">
        <f>AW20*(AU20/2)</f>
        <v>1051.8301857294064</v>
      </c>
      <c r="BA20" s="29">
        <f t="shared" si="4"/>
        <v>140.625</v>
      </c>
      <c r="BC20" s="80">
        <f t="shared" ref="BC20:BC21" si="20">SUM(AY20:BA20)</f>
        <v>2638.8865998215633</v>
      </c>
      <c r="BE20" s="81">
        <f t="shared" si="5"/>
        <v>0.84341647944701181</v>
      </c>
      <c r="BF20" s="12">
        <f t="shared" si="12"/>
        <v>0.67759562841530052</v>
      </c>
      <c r="BH20" s="81">
        <f t="shared" si="6"/>
        <v>0.51911634135231077</v>
      </c>
      <c r="BI20" s="12">
        <f t="shared" si="7"/>
        <v>0.6785714285714286</v>
      </c>
      <c r="BK20" s="81">
        <f t="shared" si="8"/>
        <v>0.62721365932384443</v>
      </c>
      <c r="BL20" s="12">
        <f t="shared" si="9"/>
        <v>0.79545454545454541</v>
      </c>
      <c r="BN20" s="133">
        <v>3000</v>
      </c>
      <c r="BO20" s="24" cm="1">
        <f t="array" ref="BO20">(_xlfn.IFS(BE20&lt;70%,0,AND(BE20&gt;=70%,BE20&lt;=120%),BE20*30%,BE20&gt;120%,120%*30%))+(_xlfn.IFS(BF20&lt;70%,0,AND(BF20&gt;=70%,BF20&lt;=120%),BF20*30%,BF20&gt;120%,120%*30%))+(_xlfn.IFS(BH20&lt;70%,0,AND(BH20&gt;=70%,BH20&lt;=120%),BH20*7.5%,BH20&gt;120%,120%*7.5%))+(_xlfn.IFS(BI20&lt;70%,0,AND(BI20&gt;=70%,BI20&lt;=120%),BI20*7.5%,BI20&gt;120%,120%*7.5%))+(_xlfn.IFS(BK20&lt;70%,0,AND(BK20&gt;=70%,BK20&lt;=120%),BK20*12.5%,BK20&gt;120%,120%*12.5%))+(_xlfn.IFS(BL20&lt;70%,0,AND(BL20&gt;=70%,BL20&lt;=120%),BL20*12.5%,BL20&gt;120%,120%*12.5%))</f>
        <v>0.35245676201592169</v>
      </c>
      <c r="BP20" s="50">
        <f t="shared" ref="BP20:BP21" si="21">BO20*((BN20/2)*3)</f>
        <v>1586.0554290716475</v>
      </c>
      <c r="BQ20" s="82">
        <f t="shared" ref="BQ20" si="22">IF(BP20&lt;BC20,BA20,BA20+BP20-BC20)</f>
        <v>140.625</v>
      </c>
    </row>
    <row r="21" spans="1:69" x14ac:dyDescent="0.25">
      <c r="A21" t="s">
        <v>29</v>
      </c>
      <c r="B21" s="122">
        <v>5160831</v>
      </c>
      <c r="C21" s="115">
        <v>4827176.6727250097</v>
      </c>
      <c r="D21" s="19">
        <v>0</v>
      </c>
      <c r="E21" s="19">
        <v>28</v>
      </c>
      <c r="F21" s="115">
        <v>4016600.0300000003</v>
      </c>
      <c r="G21" s="115">
        <v>1544633.8331500012</v>
      </c>
      <c r="H21" s="128">
        <v>0</v>
      </c>
      <c r="I21" s="19">
        <v>13</v>
      </c>
      <c r="J21" s="115">
        <f>'Apuração Dezembro'!B23</f>
        <v>456810.28</v>
      </c>
      <c r="K21" s="115">
        <f>'Apuração Dezembro'!C23</f>
        <v>492657.20430000004</v>
      </c>
      <c r="L21" s="19">
        <f>'Apuração Dezembro'!E23</f>
        <v>69</v>
      </c>
      <c r="M21" s="19">
        <f>'Apuração Dezembro'!F23</f>
        <v>21</v>
      </c>
      <c r="N21" s="13">
        <f>'Apuração Dezembro'!D23</f>
        <v>1.0784722364391626</v>
      </c>
      <c r="O21" s="14">
        <f>'Apuração Dezembro'!G23</f>
        <v>0.30434782608695654</v>
      </c>
      <c r="P21" s="22"/>
      <c r="Q21" s="122">
        <v>340514</v>
      </c>
      <c r="R21" s="115">
        <v>273805.48969999998</v>
      </c>
      <c r="S21" s="19">
        <v>0</v>
      </c>
      <c r="T21" s="19">
        <v>20</v>
      </c>
      <c r="U21" s="115">
        <v>250744.61</v>
      </c>
      <c r="V21" s="115">
        <v>131363.83599999995</v>
      </c>
      <c r="W21" s="13">
        <v>0</v>
      </c>
      <c r="X21" s="46">
        <v>9</v>
      </c>
      <c r="Y21" s="115">
        <f>'Apuração Dezembro'!I23</f>
        <v>40832.369999999995</v>
      </c>
      <c r="Z21" s="115">
        <f>'Apuração Dezembro'!J23</f>
        <v>24673.611199999999</v>
      </c>
      <c r="AA21" s="19">
        <f>'Apuração Dezembro'!L23</f>
        <v>41</v>
      </c>
      <c r="AB21" s="19">
        <f>'Apuração Dezembro'!M23</f>
        <v>13</v>
      </c>
      <c r="AC21" s="13">
        <f>'Apuração Dezembro'!K23</f>
        <v>0.60426595860098253</v>
      </c>
      <c r="AD21" s="14">
        <f>'Apuração Dezembro'!N23</f>
        <v>0.31707317073170732</v>
      </c>
      <c r="AE21" s="22"/>
      <c r="AF21" s="122">
        <v>257842</v>
      </c>
      <c r="AG21" s="115">
        <v>203248.56837499997</v>
      </c>
      <c r="AH21" s="46">
        <v>0</v>
      </c>
      <c r="AI21" s="46">
        <v>20</v>
      </c>
      <c r="AJ21" s="115">
        <v>189385.34</v>
      </c>
      <c r="AK21" s="115">
        <v>77976.239999999976</v>
      </c>
      <c r="AL21" s="13">
        <v>0</v>
      </c>
      <c r="AM21" s="46">
        <v>9</v>
      </c>
      <c r="AN21" s="115">
        <f>'Apuração Dezembro'!P23</f>
        <v>25620.47</v>
      </c>
      <c r="AO21" s="115">
        <f>'Apuração Dezembro'!Q23</f>
        <v>39579.995599999995</v>
      </c>
      <c r="AP21" s="46">
        <f>'Apuração Dezembro'!S23</f>
        <v>17</v>
      </c>
      <c r="AQ21" s="32">
        <f>'Apuração Dezembro'!T23</f>
        <v>12</v>
      </c>
      <c r="AR21" s="130">
        <f>'Apuração Dezembro'!R23</f>
        <v>1.5448582949493117</v>
      </c>
      <c r="AS21" s="14">
        <f>'Apuração Dezembro'!U23</f>
        <v>0.70588235294117652</v>
      </c>
      <c r="AU21" s="28">
        <f t="shared" si="19"/>
        <v>5000</v>
      </c>
      <c r="AV21" s="26">
        <v>0.87889040321197598</v>
      </c>
      <c r="AW21" s="26">
        <v>0</v>
      </c>
      <c r="AX21" s="26">
        <f>'Apuração Dezembro'!X23</f>
        <v>0.56177696504939578</v>
      </c>
      <c r="AY21" s="83">
        <f t="shared" ref="AY21" si="23">AV21*(AU21/2)</f>
        <v>2197.2260080299397</v>
      </c>
      <c r="AZ21" s="83">
        <f t="shared" ref="AZ21" si="24">AW21*(AU21/2)</f>
        <v>0</v>
      </c>
      <c r="BA21" s="30">
        <f>AX21*(AU21/2)</f>
        <v>1404.4424126234894</v>
      </c>
      <c r="BC21" s="84">
        <f t="shared" si="20"/>
        <v>3601.6684206534292</v>
      </c>
      <c r="BE21" s="85">
        <f t="shared" si="5"/>
        <v>0.71250734638024249</v>
      </c>
      <c r="BF21" s="14">
        <f t="shared" si="12"/>
        <v>0.89855072463768115</v>
      </c>
      <c r="BH21" s="85">
        <f t="shared" si="6"/>
        <v>0.68003333460002846</v>
      </c>
      <c r="BI21" s="14">
        <f t="shared" si="7"/>
        <v>1.024390243902439</v>
      </c>
      <c r="BK21" s="85">
        <f t="shared" si="8"/>
        <v>0.67845255321157139</v>
      </c>
      <c r="BL21" s="14">
        <f t="shared" si="9"/>
        <v>2.4117647058823528</v>
      </c>
      <c r="BN21" s="133">
        <v>5000</v>
      </c>
      <c r="BO21" s="132" cm="1">
        <f t="array" ref="BO21">(_xlfn.IFS(BE21&lt;70%,0,AND(BE21&gt;=70%,BE21&lt;=120%),BE21*60%,BE21&gt;120%,120%*60%))+(_xlfn.IFS(BH21&lt;70%,0,AND(BH21&gt;=70%,BH21&lt;=120%),BH21*15%,BH21&gt;120%,120%*15%))+(_xlfn.IFS(BK21&lt;70%,0,AND(BK21&gt;=70%,BK21&lt;=120%),BK21*25%,BK21&gt;120%,120%*25%))</f>
        <v>0.42750440782814547</v>
      </c>
      <c r="BP21" s="83">
        <f t="shared" si="21"/>
        <v>3206.2830587110911</v>
      </c>
      <c r="BQ21" s="86">
        <f>BA21</f>
        <v>1404.4424126234894</v>
      </c>
    </row>
    <row r="23" spans="1:69" x14ac:dyDescent="0.25">
      <c r="A23" s="2"/>
      <c r="B23" s="152" t="s">
        <v>16</v>
      </c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4"/>
      <c r="P23" s="4"/>
      <c r="Q23" s="155" t="s">
        <v>17</v>
      </c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  <c r="AD23" s="157"/>
      <c r="AE23" s="4"/>
      <c r="AF23" s="158" t="s">
        <v>18</v>
      </c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60"/>
      <c r="AT23" s="4"/>
      <c r="AU23" s="134" t="s">
        <v>20</v>
      </c>
      <c r="AV23" s="135"/>
      <c r="AW23" s="135"/>
      <c r="AX23" s="135"/>
      <c r="AY23" s="135"/>
      <c r="AZ23" s="47"/>
      <c r="BA23" s="48"/>
      <c r="BB23" s="4"/>
      <c r="BC23" s="74"/>
      <c r="BE23" s="75"/>
      <c r="BF23" s="76"/>
      <c r="BH23" s="75"/>
      <c r="BI23" s="76"/>
      <c r="BK23" s="75"/>
      <c r="BL23" s="76"/>
      <c r="BN23" s="75"/>
      <c r="BO23" s="77"/>
      <c r="BP23" s="77"/>
      <c r="BQ23" s="76"/>
    </row>
    <row r="24" spans="1:69" s="4" customFormat="1" x14ac:dyDescent="0.25">
      <c r="A24" s="6"/>
      <c r="B24" s="137" t="s">
        <v>49</v>
      </c>
      <c r="C24" s="138"/>
      <c r="D24" s="138"/>
      <c r="E24" s="138"/>
      <c r="F24" s="138" t="s">
        <v>48</v>
      </c>
      <c r="G24" s="138"/>
      <c r="H24" s="138"/>
      <c r="I24" s="138"/>
      <c r="J24" s="138" t="s">
        <v>47</v>
      </c>
      <c r="K24" s="138"/>
      <c r="L24" s="138"/>
      <c r="M24" s="138"/>
      <c r="N24" s="138"/>
      <c r="O24" s="139"/>
      <c r="Q24" s="137" t="s">
        <v>49</v>
      </c>
      <c r="R24" s="138"/>
      <c r="S24" s="138"/>
      <c r="T24" s="138"/>
      <c r="U24" s="138" t="s">
        <v>48</v>
      </c>
      <c r="V24" s="138"/>
      <c r="W24" s="138"/>
      <c r="X24" s="138"/>
      <c r="Y24" s="138" t="s">
        <v>47</v>
      </c>
      <c r="Z24" s="138"/>
      <c r="AA24" s="138"/>
      <c r="AB24" s="138"/>
      <c r="AC24" s="138"/>
      <c r="AD24" s="139"/>
      <c r="AF24" s="137" t="s">
        <v>49</v>
      </c>
      <c r="AG24" s="138"/>
      <c r="AH24" s="138"/>
      <c r="AI24" s="138"/>
      <c r="AJ24" s="138" t="s">
        <v>48</v>
      </c>
      <c r="AK24" s="138"/>
      <c r="AL24" s="138"/>
      <c r="AM24" s="138"/>
      <c r="AN24" s="138" t="s">
        <v>47</v>
      </c>
      <c r="AO24" s="138"/>
      <c r="AP24" s="138"/>
      <c r="AQ24" s="138"/>
      <c r="AR24" s="138"/>
      <c r="AS24" s="139"/>
      <c r="AU24" s="5"/>
      <c r="AV24" s="6" t="s">
        <v>49</v>
      </c>
      <c r="AW24" s="6" t="s">
        <v>48</v>
      </c>
      <c r="AX24" s="6" t="s">
        <v>47</v>
      </c>
      <c r="AY24" s="6" t="s">
        <v>49</v>
      </c>
      <c r="AZ24" s="6" t="s">
        <v>48</v>
      </c>
      <c r="BA24" s="7" t="s">
        <v>47</v>
      </c>
      <c r="BC24" s="78" t="s">
        <v>44</v>
      </c>
      <c r="BD24" s="1"/>
      <c r="BE24" s="146" t="s">
        <v>16</v>
      </c>
      <c r="BF24" s="148"/>
      <c r="BH24" s="149" t="s">
        <v>17</v>
      </c>
      <c r="BI24" s="151"/>
      <c r="BK24" s="140" t="s">
        <v>18</v>
      </c>
      <c r="BL24" s="142"/>
      <c r="BN24" s="137" t="s">
        <v>20</v>
      </c>
      <c r="BO24" s="138"/>
      <c r="BP24" s="138"/>
      <c r="BQ24" s="139"/>
    </row>
    <row r="25" spans="1:69" s="4" customFormat="1" x14ac:dyDescent="0.25">
      <c r="A25" s="9" t="s">
        <v>0</v>
      </c>
      <c r="B25" s="8" t="s">
        <v>11</v>
      </c>
      <c r="C25" s="9" t="s">
        <v>12</v>
      </c>
      <c r="D25" s="9" t="s">
        <v>11</v>
      </c>
      <c r="E25" s="9" t="s">
        <v>12</v>
      </c>
      <c r="F25" s="9" t="s">
        <v>11</v>
      </c>
      <c r="G25" s="9" t="s">
        <v>12</v>
      </c>
      <c r="H25" s="9" t="s">
        <v>11</v>
      </c>
      <c r="I25" s="9" t="s">
        <v>12</v>
      </c>
      <c r="J25" s="9" t="s">
        <v>11</v>
      </c>
      <c r="K25" s="9" t="s">
        <v>12</v>
      </c>
      <c r="L25" s="9" t="s">
        <v>11</v>
      </c>
      <c r="M25" s="9" t="s">
        <v>12</v>
      </c>
      <c r="N25" s="9" t="s">
        <v>55</v>
      </c>
      <c r="O25" s="10" t="s">
        <v>56</v>
      </c>
      <c r="Q25" s="8" t="s">
        <v>11</v>
      </c>
      <c r="R25" s="9" t="s">
        <v>12</v>
      </c>
      <c r="S25" s="9" t="s">
        <v>11</v>
      </c>
      <c r="T25" s="9" t="s">
        <v>12</v>
      </c>
      <c r="U25" s="9" t="s">
        <v>11</v>
      </c>
      <c r="V25" s="9" t="s">
        <v>12</v>
      </c>
      <c r="W25" s="9" t="s">
        <v>11</v>
      </c>
      <c r="X25" s="9" t="s">
        <v>12</v>
      </c>
      <c r="Y25" s="9" t="s">
        <v>11</v>
      </c>
      <c r="Z25" s="9" t="s">
        <v>12</v>
      </c>
      <c r="AA25" s="9" t="s">
        <v>11</v>
      </c>
      <c r="AB25" s="9" t="s">
        <v>12</v>
      </c>
      <c r="AC25" s="9" t="s">
        <v>55</v>
      </c>
      <c r="AD25" s="10" t="s">
        <v>56</v>
      </c>
      <c r="AF25" s="8" t="s">
        <v>11</v>
      </c>
      <c r="AG25" s="9" t="s">
        <v>12</v>
      </c>
      <c r="AH25" s="9" t="s">
        <v>11</v>
      </c>
      <c r="AI25" s="9" t="s">
        <v>12</v>
      </c>
      <c r="AJ25" s="9" t="s">
        <v>11</v>
      </c>
      <c r="AK25" s="9" t="s">
        <v>12</v>
      </c>
      <c r="AL25" s="9" t="s">
        <v>11</v>
      </c>
      <c r="AM25" s="9" t="s">
        <v>12</v>
      </c>
      <c r="AN25" s="9" t="s">
        <v>11</v>
      </c>
      <c r="AO25" s="9" t="s">
        <v>12</v>
      </c>
      <c r="AP25" s="9" t="s">
        <v>11</v>
      </c>
      <c r="AQ25" s="9" t="s">
        <v>12</v>
      </c>
      <c r="AR25" s="9" t="s">
        <v>55</v>
      </c>
      <c r="AS25" s="10" t="s">
        <v>56</v>
      </c>
      <c r="AU25" s="8" t="s">
        <v>1</v>
      </c>
      <c r="AV25" s="9" t="s">
        <v>19</v>
      </c>
      <c r="AW25" s="9"/>
      <c r="AX25" s="9"/>
      <c r="AY25" s="9" t="s">
        <v>20</v>
      </c>
      <c r="AZ25" s="9"/>
      <c r="BA25" s="10"/>
      <c r="BC25" s="79"/>
      <c r="BD25" s="1"/>
      <c r="BE25" s="8" t="s">
        <v>14</v>
      </c>
      <c r="BF25" s="10" t="s">
        <v>15</v>
      </c>
      <c r="BH25" s="8" t="s">
        <v>14</v>
      </c>
      <c r="BI25" s="10" t="s">
        <v>15</v>
      </c>
      <c r="BK25" s="8" t="s">
        <v>14</v>
      </c>
      <c r="BL25" s="10" t="s">
        <v>15</v>
      </c>
      <c r="BM25" s="1"/>
      <c r="BN25" s="8" t="s">
        <v>1</v>
      </c>
      <c r="BO25" s="9" t="s">
        <v>19</v>
      </c>
      <c r="BP25" s="9" t="s">
        <v>45</v>
      </c>
      <c r="BQ25" s="10" t="s">
        <v>46</v>
      </c>
    </row>
    <row r="26" spans="1:69" x14ac:dyDescent="0.25">
      <c r="A26" t="s">
        <v>30</v>
      </c>
      <c r="B26" s="17">
        <v>9224282.379999999</v>
      </c>
      <c r="C26" s="18">
        <v>8896999.2794940099</v>
      </c>
      <c r="D26" s="32">
        <v>960</v>
      </c>
      <c r="E26" s="32">
        <v>874</v>
      </c>
      <c r="F26" s="18">
        <v>9457755.379999999</v>
      </c>
      <c r="G26" s="18">
        <v>6114623.2032970032</v>
      </c>
      <c r="H26" s="129">
        <v>967</v>
      </c>
      <c r="I26" s="32">
        <v>635</v>
      </c>
      <c r="J26" s="115">
        <f>'Apuração Dezembro'!B28</f>
        <v>4654924.7799999993</v>
      </c>
      <c r="K26" s="115">
        <f>'Apuração Dezembro'!C28</f>
        <v>3043152.6228330005</v>
      </c>
      <c r="L26" s="19">
        <f>'Apuração Dezembro'!E28</f>
        <v>996</v>
      </c>
      <c r="M26" s="19">
        <f>'Apuração Dezembro'!F28</f>
        <v>459</v>
      </c>
      <c r="N26" s="13">
        <f>'Apuração Dezembro'!D28</f>
        <v>0.65374904357380426</v>
      </c>
      <c r="O26" s="14">
        <f>'Apuração Dezembro'!G28</f>
        <v>0.46084337349397592</v>
      </c>
      <c r="Q26" s="17">
        <v>1260691.1499999999</v>
      </c>
      <c r="R26" s="18">
        <v>812748.23653600016</v>
      </c>
      <c r="S26" s="32">
        <v>594</v>
      </c>
      <c r="T26" s="131">
        <v>714</v>
      </c>
      <c r="U26" s="18">
        <v>815347.51</v>
      </c>
      <c r="V26" s="18">
        <v>517389.48192499985</v>
      </c>
      <c r="W26" s="129">
        <v>608</v>
      </c>
      <c r="X26" s="32">
        <v>468</v>
      </c>
      <c r="Y26" s="115">
        <f>'Apuração Dezembro'!I28</f>
        <v>460079.77999999997</v>
      </c>
      <c r="Z26" s="115">
        <f>'Apuração Dezembro'!J28</f>
        <v>303771.52681299997</v>
      </c>
      <c r="AA26" s="19">
        <f>'Apuração Dezembro'!L28</f>
        <v>597</v>
      </c>
      <c r="AB26" s="19">
        <f>'Apuração Dezembro'!M28</f>
        <v>315</v>
      </c>
      <c r="AC26" s="13">
        <f>'Apuração Dezembro'!K28</f>
        <v>0.66025837260876796</v>
      </c>
      <c r="AD26" s="14">
        <f>'Apuração Dezembro'!N28</f>
        <v>0.52763819095477382</v>
      </c>
      <c r="AF26" s="122">
        <v>652361.36</v>
      </c>
      <c r="AG26" s="18">
        <v>488566.44147599989</v>
      </c>
      <c r="AH26" s="32">
        <v>566</v>
      </c>
      <c r="AI26" s="131">
        <v>651</v>
      </c>
      <c r="AJ26" s="18">
        <v>625273.89000000013</v>
      </c>
      <c r="AK26" s="18">
        <v>291281.14685700001</v>
      </c>
      <c r="AL26" s="129">
        <v>580</v>
      </c>
      <c r="AM26" s="32">
        <v>406</v>
      </c>
      <c r="AN26" s="115">
        <f>'Apuração Dezembro'!P28</f>
        <v>297698.68</v>
      </c>
      <c r="AO26" s="115">
        <f>'Apuração Dezembro'!Q28</f>
        <v>227406.98073799993</v>
      </c>
      <c r="AP26" s="46">
        <f>'Apuração Dezembro'!S28</f>
        <v>240</v>
      </c>
      <c r="AQ26" s="32">
        <f>'Apuração Dezembro'!T28</f>
        <v>262</v>
      </c>
      <c r="AR26" s="130">
        <f>'Apuração Dezembro'!R28</f>
        <v>0.76388306705961861</v>
      </c>
      <c r="AS26" s="14">
        <f>'Apuração Dezembro'!U28</f>
        <v>1.0916666666666666</v>
      </c>
      <c r="AU26" s="88">
        <f>BN26</f>
        <v>11287.5</v>
      </c>
      <c r="AV26" s="26">
        <v>0.88986789851045034</v>
      </c>
      <c r="AW26" s="26">
        <v>0.14523026315789472</v>
      </c>
      <c r="AX26" s="26">
        <f>'Apuração Dezembro'!X28</f>
        <v>0.23194371671578565</v>
      </c>
      <c r="AY26" s="83">
        <f>AV26*(AU26/2)</f>
        <v>5022.1919522183543</v>
      </c>
      <c r="AZ26" s="83">
        <f>AW26*(AU26/2)</f>
        <v>819.64329769736833</v>
      </c>
      <c r="BA26" s="30">
        <f>AX26*(AU26/2)</f>
        <v>1309.0323512147152</v>
      </c>
      <c r="BC26" s="84">
        <f>SUM(AY26:BA26)</f>
        <v>7150.8676011304378</v>
      </c>
      <c r="BE26" s="85">
        <f t="shared" ref="BE26" si="25">SUM(C26,G26,K26)/SUM(B26,F26,J26)</f>
        <v>0.77365574353036659</v>
      </c>
      <c r="BF26" s="14">
        <f t="shared" ref="BF26" si="26">SUM(E26,I26,M26)/SUM(D26,H26,L26)</f>
        <v>0.67328087581252138</v>
      </c>
      <c r="BH26" s="85">
        <f t="shared" ref="BH26" si="27">SUM(R26,V26,Z26)/SUM(Q26,U26,Y26)</f>
        <v>0.64425589101193548</v>
      </c>
      <c r="BI26" s="14">
        <f t="shared" ref="BI26" si="28">SUM(T26,X26,AB26)/SUM(S26,W26,AA26)</f>
        <v>0.83212896053362984</v>
      </c>
      <c r="BK26" s="85">
        <f t="shared" ref="BK26" si="29">SUM(AG26,AK26,AO26)/SUM(AF26,AJ26,AN26)</f>
        <v>0.63939114741913794</v>
      </c>
      <c r="BL26" s="14">
        <f t="shared" ref="BL26" si="30">SUM(AI26,AM26,AQ26)/SUM(AH26,AL26,AP26)</f>
        <v>0.95165945165945165</v>
      </c>
      <c r="BN26" s="133">
        <v>11287.5</v>
      </c>
      <c r="BO26" s="26" cm="1">
        <f t="array" ref="BO26">(_xlfn.IFS(BE26&lt;70%,0,AND(BE26&gt;=70%,BE26&lt;=120%),BE26*30%,BE26&gt;120%,120%*30%))+(_xlfn.IFS(BF26&lt;70%,0,AND(BF26&gt;=70%,BF26&lt;=120%),BF26*30%,BF26&gt;120%,120%*30%))+(_xlfn.IFS(BH26&lt;70%,0,AND(BH26&gt;=70%,BH26&lt;=120%),BH26*7.5%,BH26&gt;120%,120%*7.5%))+(_xlfn.IFS(BI26&lt;70%,0,AND(BI26&gt;=70%,BI26&lt;=120%),BI26*7.5%,BI26&gt;120%,120%*7.5%))+(_xlfn.IFS(BK26&lt;70%,0,AND(BK26&gt;=70%,BK26&lt;=120%),BK26*12.5%,BK26&gt;120%,120%*12.5%))+(_xlfn.IFS(BL26&lt;70%,0,AND(BL26&gt;=70%,BL26&lt;=120%),BL26*12.5%,BL26&gt;120%,120%*12.5%))</f>
        <v>0.41346382655656366</v>
      </c>
      <c r="BP26" s="83">
        <f>BO26*((BN26/2)*3)</f>
        <v>7000.4594133858182</v>
      </c>
      <c r="BQ26" s="86">
        <f t="shared" ref="BQ26" si="31">IF(BP26&lt;BC26,BA26,BA26+BP26-BC26)</f>
        <v>1309.0323512147152</v>
      </c>
    </row>
    <row r="27" spans="1:69" x14ac:dyDescent="0.25">
      <c r="B27" s="16"/>
      <c r="C27" s="16"/>
      <c r="D27" s="16"/>
      <c r="E27" s="16"/>
      <c r="F27" s="16"/>
      <c r="G27" s="16"/>
      <c r="H27" s="22"/>
      <c r="I27" s="31"/>
      <c r="J27" s="31"/>
      <c r="K27" s="31"/>
      <c r="L27" s="31"/>
      <c r="M27" s="31"/>
      <c r="N27" s="31"/>
      <c r="O27" s="22"/>
      <c r="Q27" s="16"/>
      <c r="R27" s="16"/>
      <c r="S27" s="16"/>
      <c r="U27" s="16"/>
      <c r="V27" s="16"/>
      <c r="W27" s="22"/>
      <c r="X27" s="31"/>
      <c r="Y27" s="31"/>
      <c r="Z27" s="31"/>
      <c r="AA27" s="31"/>
      <c r="AB27" s="31"/>
      <c r="AC27" s="31"/>
      <c r="AD27" s="22"/>
      <c r="AG27" s="16"/>
      <c r="AH27" s="16"/>
      <c r="AJ27" s="16"/>
      <c r="AK27" s="16"/>
      <c r="AL27" s="22"/>
      <c r="AM27" s="31"/>
      <c r="AN27" s="31"/>
      <c r="AO27" s="31"/>
      <c r="AP27" s="31"/>
      <c r="AQ27" s="31"/>
      <c r="AR27" s="31"/>
      <c r="AS27" s="22"/>
      <c r="AV27" s="43"/>
      <c r="AW27" s="43"/>
      <c r="AX27" s="43"/>
      <c r="AY27" s="44"/>
      <c r="AZ27" s="44"/>
      <c r="BA27" s="44"/>
    </row>
    <row r="28" spans="1:69" x14ac:dyDescent="0.25">
      <c r="A28" s="2"/>
      <c r="B28" s="152" t="s">
        <v>16</v>
      </c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4"/>
      <c r="P28" s="4"/>
      <c r="Q28" s="155" t="s">
        <v>17</v>
      </c>
      <c r="R28" s="156"/>
      <c r="S28" s="156"/>
      <c r="T28" s="156"/>
      <c r="U28" s="156"/>
      <c r="V28" s="156"/>
      <c r="W28" s="156"/>
      <c r="X28" s="156"/>
      <c r="Y28" s="156"/>
      <c r="Z28" s="156"/>
      <c r="AA28" s="156"/>
      <c r="AB28" s="156"/>
      <c r="AC28" s="156"/>
      <c r="AD28" s="157"/>
      <c r="AE28" s="4"/>
      <c r="AF28" s="158" t="s">
        <v>18</v>
      </c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60"/>
      <c r="AT28" s="4"/>
      <c r="AU28" s="134" t="s">
        <v>20</v>
      </c>
      <c r="AV28" s="135"/>
      <c r="AW28" s="135"/>
      <c r="AX28" s="135"/>
      <c r="AY28" s="135"/>
      <c r="AZ28" s="135"/>
      <c r="BA28" s="136"/>
      <c r="BB28" s="4"/>
      <c r="BC28" s="74"/>
      <c r="BE28" s="75"/>
      <c r="BF28" s="76"/>
      <c r="BH28" s="75"/>
      <c r="BI28" s="76"/>
      <c r="BK28" s="75"/>
      <c r="BL28" s="76"/>
      <c r="BN28" s="75"/>
      <c r="BO28" s="77"/>
      <c r="BP28" s="77"/>
      <c r="BQ28" s="76"/>
    </row>
    <row r="29" spans="1:69" x14ac:dyDescent="0.25">
      <c r="A29" s="21"/>
      <c r="B29" s="137" t="s">
        <v>14</v>
      </c>
      <c r="C29" s="138"/>
      <c r="D29" s="138"/>
      <c r="E29" s="138"/>
      <c r="F29" s="138"/>
      <c r="G29" s="138"/>
      <c r="H29" s="138"/>
      <c r="I29" s="138" t="s">
        <v>15</v>
      </c>
      <c r="J29" s="138"/>
      <c r="K29" s="138"/>
      <c r="L29" s="138"/>
      <c r="M29" s="138"/>
      <c r="N29" s="138"/>
      <c r="O29" s="139"/>
      <c r="P29" s="4"/>
      <c r="Q29" s="137" t="s">
        <v>14</v>
      </c>
      <c r="R29" s="138"/>
      <c r="S29" s="138"/>
      <c r="T29" s="138"/>
      <c r="U29" s="138"/>
      <c r="V29" s="138"/>
      <c r="W29" s="138"/>
      <c r="X29" s="138" t="s">
        <v>15</v>
      </c>
      <c r="Y29" s="138"/>
      <c r="Z29" s="138"/>
      <c r="AA29" s="138"/>
      <c r="AB29" s="138"/>
      <c r="AC29" s="138"/>
      <c r="AD29" s="139"/>
      <c r="AE29" s="4"/>
      <c r="AF29" s="137" t="s">
        <v>14</v>
      </c>
      <c r="AG29" s="138"/>
      <c r="AH29" s="138"/>
      <c r="AI29" s="138"/>
      <c r="AJ29" s="138"/>
      <c r="AK29" s="138"/>
      <c r="AL29" s="138"/>
      <c r="AM29" s="138" t="s">
        <v>15</v>
      </c>
      <c r="AN29" s="138"/>
      <c r="AO29" s="138"/>
      <c r="AP29" s="138"/>
      <c r="AQ29" s="138"/>
      <c r="AR29" s="138"/>
      <c r="AS29" s="139"/>
      <c r="AT29" s="4"/>
      <c r="AU29" s="5"/>
      <c r="AV29" s="6"/>
      <c r="AW29" s="6"/>
      <c r="AX29" s="6"/>
      <c r="AY29" s="6"/>
      <c r="AZ29" s="6"/>
      <c r="BA29" s="7"/>
      <c r="BB29" s="4"/>
      <c r="BC29" s="78" t="s">
        <v>44</v>
      </c>
      <c r="BE29" s="146" t="s">
        <v>16</v>
      </c>
      <c r="BF29" s="148"/>
      <c r="BG29" s="4"/>
      <c r="BH29" s="149" t="s">
        <v>17</v>
      </c>
      <c r="BI29" s="151"/>
      <c r="BJ29" s="4"/>
      <c r="BK29" s="140" t="s">
        <v>18</v>
      </c>
      <c r="BL29" s="142"/>
      <c r="BM29" s="4"/>
      <c r="BN29" s="137" t="s">
        <v>20</v>
      </c>
      <c r="BO29" s="138"/>
      <c r="BP29" s="138"/>
      <c r="BQ29" s="139"/>
    </row>
    <row r="30" spans="1:69" x14ac:dyDescent="0.25">
      <c r="A30" s="20" t="s">
        <v>36</v>
      </c>
      <c r="B30" s="8" t="s">
        <v>11</v>
      </c>
      <c r="C30" s="9"/>
      <c r="D30" s="9"/>
      <c r="E30" s="9" t="s">
        <v>12</v>
      </c>
      <c r="F30" s="9"/>
      <c r="G30" s="9"/>
      <c r="H30" s="9" t="s">
        <v>13</v>
      </c>
      <c r="I30" s="9" t="s">
        <v>11</v>
      </c>
      <c r="J30" s="9"/>
      <c r="K30" s="9"/>
      <c r="L30" s="9" t="s">
        <v>12</v>
      </c>
      <c r="M30" s="9"/>
      <c r="N30" s="9"/>
      <c r="O30" s="10" t="s">
        <v>13</v>
      </c>
      <c r="P30" s="4"/>
      <c r="Q30" s="8" t="s">
        <v>11</v>
      </c>
      <c r="R30" s="9"/>
      <c r="S30" s="9"/>
      <c r="T30" s="116" t="s">
        <v>12</v>
      </c>
      <c r="U30" s="9"/>
      <c r="V30" s="9"/>
      <c r="W30" s="118" t="s">
        <v>13</v>
      </c>
      <c r="X30" s="9" t="s">
        <v>11</v>
      </c>
      <c r="Y30" s="9"/>
      <c r="Z30" s="9"/>
      <c r="AA30" s="9" t="s">
        <v>12</v>
      </c>
      <c r="AB30" s="9"/>
      <c r="AC30" s="9"/>
      <c r="AD30" s="55" t="s">
        <v>13</v>
      </c>
      <c r="AE30" s="4"/>
      <c r="AF30" s="94" t="s">
        <v>11</v>
      </c>
      <c r="AG30" s="9"/>
      <c r="AH30" s="9"/>
      <c r="AI30" s="116" t="s">
        <v>12</v>
      </c>
      <c r="AJ30" s="9"/>
      <c r="AK30" s="9"/>
      <c r="AL30" s="9" t="s">
        <v>13</v>
      </c>
      <c r="AM30" s="9" t="s">
        <v>11</v>
      </c>
      <c r="AN30" s="9"/>
      <c r="AO30" s="9"/>
      <c r="AP30" s="9" t="s">
        <v>12</v>
      </c>
      <c r="AQ30" s="9"/>
      <c r="AR30" s="9"/>
      <c r="AS30" s="10" t="s">
        <v>13</v>
      </c>
      <c r="AT30" s="4"/>
      <c r="AU30" s="8" t="s">
        <v>1</v>
      </c>
      <c r="AV30" s="161" t="s">
        <v>19</v>
      </c>
      <c r="AW30" s="161"/>
      <c r="AX30" s="161"/>
      <c r="AY30" s="161" t="s">
        <v>20</v>
      </c>
      <c r="AZ30" s="161"/>
      <c r="BA30" s="162"/>
      <c r="BB30" s="4"/>
      <c r="BC30" s="79"/>
      <c r="BE30" s="8" t="s">
        <v>14</v>
      </c>
      <c r="BF30" s="10" t="s">
        <v>15</v>
      </c>
      <c r="BG30" s="4"/>
      <c r="BH30" s="8" t="s">
        <v>14</v>
      </c>
      <c r="BI30" s="10" t="s">
        <v>15</v>
      </c>
      <c r="BJ30" s="4"/>
      <c r="BK30" s="8" t="s">
        <v>14</v>
      </c>
      <c r="BL30" s="10" t="s">
        <v>15</v>
      </c>
      <c r="BN30" s="8" t="s">
        <v>1</v>
      </c>
      <c r="BO30" s="9" t="s">
        <v>19</v>
      </c>
      <c r="BP30" s="9" t="s">
        <v>45</v>
      </c>
      <c r="BQ30" s="10" t="s">
        <v>46</v>
      </c>
    </row>
    <row r="31" spans="1:69" x14ac:dyDescent="0.25">
      <c r="A31" t="s">
        <v>49</v>
      </c>
      <c r="B31" s="15">
        <f>'Apuração Dezembro'!B33</f>
        <v>31840180.540000003</v>
      </c>
      <c r="C31" s="4"/>
      <c r="D31" s="4"/>
      <c r="E31" s="44">
        <f>'Apuração Dezembro'!C33</f>
        <v>29816202.496967021</v>
      </c>
      <c r="F31" s="4"/>
      <c r="G31" s="4"/>
      <c r="H31" s="89">
        <f>'Apuração Dezembro'!D33</f>
        <v>0.93643321084532449</v>
      </c>
      <c r="I31" s="1">
        <f>'Apuração Dezembro'!E33</f>
        <v>0</v>
      </c>
      <c r="J31" s="4"/>
      <c r="K31" s="4"/>
      <c r="L31" s="1">
        <f>'Apuração Dezembro'!F33</f>
        <v>0</v>
      </c>
      <c r="M31" s="4"/>
      <c r="N31" s="4"/>
      <c r="O31" s="112">
        <f>'Apuração Dezembro'!G33</f>
        <v>0</v>
      </c>
      <c r="P31" s="4"/>
      <c r="Q31" s="63">
        <f>'Apuração Dezembro'!I33</f>
        <v>3188177.86</v>
      </c>
      <c r="R31" s="4"/>
      <c r="S31" s="4"/>
      <c r="T31" s="44">
        <f>'Apuração Dezembro'!J33</f>
        <v>1981387.6889729998</v>
      </c>
      <c r="U31" s="4"/>
      <c r="V31" s="4"/>
      <c r="W31" s="119">
        <f>'Apuração Dezembro'!K33</f>
        <v>0.62147965890867829</v>
      </c>
      <c r="X31" s="1">
        <f>'Apuração Dezembro'!L33</f>
        <v>0</v>
      </c>
      <c r="Y31" s="4"/>
      <c r="Z31" s="4"/>
      <c r="AA31" s="1">
        <f>'Apuração Dezembro'!M33</f>
        <v>0</v>
      </c>
      <c r="AB31" s="4"/>
      <c r="AC31" s="4"/>
      <c r="AD31" s="121">
        <f>'Apuração Dezembro'!N33</f>
        <v>0</v>
      </c>
      <c r="AE31" s="4"/>
      <c r="AF31" s="63">
        <f>'Apuração Dezembro'!P33</f>
        <v>1950582.93</v>
      </c>
      <c r="AG31" s="4"/>
      <c r="AH31" s="4"/>
      <c r="AI31" s="44">
        <f>'Apuração Dezembro'!Q33</f>
        <v>1635823.2848009996</v>
      </c>
      <c r="AJ31" s="4"/>
      <c r="AK31" s="4"/>
      <c r="AL31" s="124">
        <f>'Apuração Dezembro'!R33</f>
        <v>0.83863303612576967</v>
      </c>
      <c r="AM31" s="1">
        <f>'Apuração Dezembro'!S33</f>
        <v>0</v>
      </c>
      <c r="AN31" s="4"/>
      <c r="AO31" s="4"/>
      <c r="AP31" s="1">
        <f>'Apuração Dezembro'!T33</f>
        <v>0</v>
      </c>
      <c r="AQ31" s="4"/>
      <c r="AR31" s="4"/>
      <c r="AS31" s="121">
        <f>'Apuração Dezembro'!U33</f>
        <v>0</v>
      </c>
      <c r="AT31" s="4"/>
      <c r="AU31" s="91"/>
      <c r="AV31" s="4"/>
      <c r="AW31" s="4"/>
      <c r="AX31" s="4"/>
      <c r="AY31" s="4"/>
      <c r="AZ31" s="4"/>
      <c r="BA31" s="90"/>
      <c r="BB31" s="4"/>
      <c r="BC31" s="92"/>
      <c r="BE31" s="91"/>
      <c r="BF31" s="90"/>
      <c r="BG31" s="4"/>
      <c r="BH31" s="91"/>
      <c r="BI31" s="90"/>
      <c r="BJ31" s="4"/>
      <c r="BK31" s="91"/>
      <c r="BL31" s="90"/>
      <c r="BN31" s="91"/>
      <c r="BO31" s="4"/>
      <c r="BP31" s="4"/>
      <c r="BQ31" s="90"/>
    </row>
    <row r="32" spans="1:69" x14ac:dyDescent="0.25">
      <c r="A32" t="s">
        <v>48</v>
      </c>
      <c r="B32" s="15">
        <f>'Apuração Dezembro'!B34</f>
        <v>27686059.800000001</v>
      </c>
      <c r="C32" s="4"/>
      <c r="D32" s="4"/>
      <c r="E32" s="44">
        <f>'Apuração Dezembro'!C34</f>
        <v>20807385.575753007</v>
      </c>
      <c r="F32" s="4"/>
      <c r="G32" s="4"/>
      <c r="H32" s="89">
        <f>'Apuração Dezembro'!D34</f>
        <v>0.75154737532398908</v>
      </c>
      <c r="I32" s="1">
        <f>'Apuração Dezembro'!E34</f>
        <v>0</v>
      </c>
      <c r="J32" s="4"/>
      <c r="K32" s="4"/>
      <c r="L32" s="1">
        <f>'Apuração Dezembro'!F34</f>
        <v>0</v>
      </c>
      <c r="M32" s="4"/>
      <c r="N32" s="4"/>
      <c r="O32" s="112">
        <f>'Apuração Dezembro'!G34</f>
        <v>0</v>
      </c>
      <c r="P32" s="4"/>
      <c r="Q32" s="63">
        <f>'Apuração Dezembro'!I34</f>
        <v>2036808.02</v>
      </c>
      <c r="R32" s="4"/>
      <c r="S32" s="4"/>
      <c r="T32" s="44">
        <f>'Apuração Dezembro'!J34</f>
        <v>1453850.4466339997</v>
      </c>
      <c r="U32" s="4"/>
      <c r="V32" s="4"/>
      <c r="W32" s="119">
        <f>'Apuração Dezembro'!K34</f>
        <v>0.71378864986696178</v>
      </c>
      <c r="X32" s="1">
        <f>'Apuração Dezembro'!L34</f>
        <v>0</v>
      </c>
      <c r="Y32" s="4"/>
      <c r="Z32" s="4"/>
      <c r="AA32" s="1">
        <f>'Apuração Dezembro'!M34</f>
        <v>0</v>
      </c>
      <c r="AB32" s="4"/>
      <c r="AC32" s="4"/>
      <c r="AD32" s="121">
        <f>'Apuração Dezembro'!N34</f>
        <v>0</v>
      </c>
      <c r="AE32" s="4"/>
      <c r="AF32" s="63">
        <f>'Apuração Dezembro'!P34</f>
        <v>1616273.3</v>
      </c>
      <c r="AG32" s="4"/>
      <c r="AH32" s="4"/>
      <c r="AI32" s="44">
        <f>'Apuração Dezembro'!Q34</f>
        <v>919102.22386299993</v>
      </c>
      <c r="AJ32" s="4"/>
      <c r="AK32" s="4"/>
      <c r="AL32" s="124">
        <f>'Apuração Dezembro'!R34</f>
        <v>0.56865520445273698</v>
      </c>
      <c r="AM32" s="1">
        <f>'Apuração Dezembro'!S34</f>
        <v>0</v>
      </c>
      <c r="AN32" s="4"/>
      <c r="AO32" s="4"/>
      <c r="AP32" s="1">
        <f>'Apuração Dezembro'!T34</f>
        <v>0</v>
      </c>
      <c r="AQ32" s="4"/>
      <c r="AR32" s="4"/>
      <c r="AS32" s="121">
        <f>'Apuração Dezembro'!U34</f>
        <v>0</v>
      </c>
      <c r="AT32" s="4"/>
      <c r="AU32" s="91"/>
      <c r="AV32" s="4"/>
      <c r="AW32" s="4"/>
      <c r="AX32" s="4"/>
      <c r="AY32" s="4"/>
      <c r="AZ32" s="4"/>
      <c r="BA32" s="90"/>
      <c r="BB32" s="4"/>
      <c r="BC32" s="92"/>
      <c r="BE32" s="91"/>
      <c r="BF32" s="90"/>
      <c r="BG32" s="4"/>
      <c r="BH32" s="91"/>
      <c r="BI32" s="90"/>
      <c r="BJ32" s="4"/>
      <c r="BK32" s="91"/>
      <c r="BL32" s="90"/>
      <c r="BN32" s="91"/>
      <c r="BO32" s="4"/>
      <c r="BP32" s="4"/>
      <c r="BQ32" s="90"/>
    </row>
    <row r="33" spans="1:70" x14ac:dyDescent="0.25">
      <c r="A33" t="s">
        <v>47</v>
      </c>
      <c r="B33" s="15">
        <f>'Apuração Dezembro'!B35</f>
        <v>8994918.8400000017</v>
      </c>
      <c r="C33" s="4"/>
      <c r="D33" s="4"/>
      <c r="E33" s="16">
        <f>'Apuração Dezembro'!C35</f>
        <v>9427895.9773729928</v>
      </c>
      <c r="F33" s="4"/>
      <c r="G33" s="4"/>
      <c r="H33" s="89">
        <f>'Apuração Dezembro'!D35</f>
        <v>1.0481357469783452</v>
      </c>
      <c r="I33" s="1">
        <f>'Apuração Dezembro'!E35</f>
        <v>0</v>
      </c>
      <c r="J33" s="4"/>
      <c r="K33" s="4"/>
      <c r="L33" s="1">
        <f>'Apuração Dezembro'!F35</f>
        <v>0</v>
      </c>
      <c r="M33" s="4"/>
      <c r="N33" s="4"/>
      <c r="O33" s="112">
        <f>'Apuração Dezembro'!G35</f>
        <v>0</v>
      </c>
      <c r="P33" s="4"/>
      <c r="Q33" s="65">
        <f>'Apuração Dezembro'!I35</f>
        <v>645583.8600000001</v>
      </c>
      <c r="R33" s="4"/>
      <c r="S33" s="4"/>
      <c r="T33" s="66">
        <f>'Apuração Dezembro'!J35</f>
        <v>757633.26245699986</v>
      </c>
      <c r="U33" s="4"/>
      <c r="V33" s="4"/>
      <c r="W33" s="119">
        <f>'Apuração Dezembro'!K35</f>
        <v>1.1735628930639619</v>
      </c>
      <c r="X33" s="1">
        <f>'Apuração Dezembro'!L35</f>
        <v>0</v>
      </c>
      <c r="Y33" s="4"/>
      <c r="Z33" s="4"/>
      <c r="AA33" s="1">
        <f>'Apuração Dezembro'!M35</f>
        <v>0</v>
      </c>
      <c r="AB33" s="4"/>
      <c r="AC33" s="4"/>
      <c r="AD33" s="121">
        <f>'Apuração Dezembro'!N35</f>
        <v>0</v>
      </c>
      <c r="AE33" s="4"/>
      <c r="AF33" s="65">
        <f>'Apuração Dezembro'!P35</f>
        <v>360641.99</v>
      </c>
      <c r="AG33" s="4"/>
      <c r="AH33" s="4"/>
      <c r="AI33" s="66">
        <f>'Apuração Dezembro'!Q35</f>
        <v>379172.60770999995</v>
      </c>
      <c r="AJ33" s="4"/>
      <c r="AK33" s="4"/>
      <c r="AL33" s="124">
        <f>'Apuração Dezembro'!R35</f>
        <v>1.0513823077285038</v>
      </c>
      <c r="AM33" s="1">
        <f>'Apuração Dezembro'!S35</f>
        <v>240</v>
      </c>
      <c r="AN33" s="4"/>
      <c r="AO33" s="4"/>
      <c r="AP33" s="1">
        <f>'Apuração Dezembro'!T35</f>
        <v>262</v>
      </c>
      <c r="AQ33" s="4"/>
      <c r="AR33" s="4"/>
      <c r="AS33" s="121">
        <f>'Apuração Dezembro'!U35</f>
        <v>1.0916666666666666</v>
      </c>
      <c r="AT33" s="4"/>
      <c r="AU33" s="91"/>
      <c r="AV33" s="4"/>
      <c r="AW33" s="4"/>
      <c r="AX33" s="4"/>
      <c r="AY33" s="4"/>
      <c r="AZ33" s="4"/>
      <c r="BA33" s="90"/>
      <c r="BB33" s="4"/>
      <c r="BC33" s="92"/>
      <c r="BE33" s="91"/>
      <c r="BF33" s="90"/>
      <c r="BG33" s="4"/>
      <c r="BH33" s="91"/>
      <c r="BI33" s="90"/>
      <c r="BJ33" s="4"/>
      <c r="BK33" s="91"/>
      <c r="BL33" s="90"/>
      <c r="BN33" s="91"/>
      <c r="BO33" s="4"/>
      <c r="BP33" s="4"/>
      <c r="BQ33" s="90"/>
    </row>
    <row r="34" spans="1:70" x14ac:dyDescent="0.25">
      <c r="A34" s="20" t="s">
        <v>8</v>
      </c>
      <c r="B34" s="73">
        <f>'Apuração Dezembro'!B36</f>
        <v>68521159.180000007</v>
      </c>
      <c r="C34" s="9"/>
      <c r="D34" s="9"/>
      <c r="E34" s="93">
        <f>'Apuração Dezembro'!C36</f>
        <v>60051484.050093025</v>
      </c>
      <c r="F34" s="9"/>
      <c r="G34" s="9"/>
      <c r="H34" s="53">
        <f>'Apuração Dezembro'!D36</f>
        <v>0.87639328885756629</v>
      </c>
      <c r="I34" s="54">
        <f>'Apuração Dezembro'!E36</f>
        <v>0</v>
      </c>
      <c r="J34" s="9"/>
      <c r="K34" s="9"/>
      <c r="L34" s="54">
        <f>'Apuração Dezembro'!F36</f>
        <v>0</v>
      </c>
      <c r="M34" s="9"/>
      <c r="N34" s="9"/>
      <c r="O34" s="55">
        <f>'Apuração Dezembro'!G36</f>
        <v>0</v>
      </c>
      <c r="P34" s="4"/>
      <c r="Q34" s="51">
        <f>'Apuração Dezembro'!I36</f>
        <v>5870569.7400000002</v>
      </c>
      <c r="R34" s="9"/>
      <c r="S34" s="9"/>
      <c r="T34" s="116">
        <f>'Apuração Dezembro'!J36</f>
        <v>4192871.3980639996</v>
      </c>
      <c r="U34" s="9"/>
      <c r="V34" s="9"/>
      <c r="W34" s="53">
        <f>'Apuração Dezembro'!K36</f>
        <v>0.71421882095961597</v>
      </c>
      <c r="X34" s="54">
        <f>'Apuração Dezembro'!L36</f>
        <v>0</v>
      </c>
      <c r="Y34" s="9"/>
      <c r="Z34" s="9"/>
      <c r="AA34" s="54">
        <f>'Apuração Dezembro'!M36</f>
        <v>0</v>
      </c>
      <c r="AB34" s="9"/>
      <c r="AC34" s="9"/>
      <c r="AD34" s="55">
        <f>'Apuração Dezembro'!N36</f>
        <v>0</v>
      </c>
      <c r="AE34" s="4"/>
      <c r="AF34" s="94">
        <f>'Apuração Dezembro'!P36</f>
        <v>3927498.2199999997</v>
      </c>
      <c r="AG34" s="9"/>
      <c r="AH34" s="9"/>
      <c r="AI34" s="116">
        <f>'Apuração Dezembro'!Q36</f>
        <v>2934098.1163739995</v>
      </c>
      <c r="AJ34" s="9"/>
      <c r="AK34" s="9"/>
      <c r="AL34" s="53">
        <f>'Apuração Dezembro'!R36</f>
        <v>0.74706542231711048</v>
      </c>
      <c r="AM34" s="54">
        <f>'Apuração Dezembro'!S36</f>
        <v>240</v>
      </c>
      <c r="AN34" s="9"/>
      <c r="AO34" s="9"/>
      <c r="AP34" s="54">
        <f>'Apuração Dezembro'!T36</f>
        <v>262</v>
      </c>
      <c r="AQ34" s="9"/>
      <c r="AR34" s="9"/>
      <c r="AS34" s="55">
        <f>'Apuração Dezembro'!U36</f>
        <v>1.0916666666666666</v>
      </c>
      <c r="AT34" s="4"/>
      <c r="AU34" s="94">
        <f>BN34</f>
        <v>15200</v>
      </c>
      <c r="AV34" s="95" cm="1">
        <f t="array" ref="AV34">(_xlfn.IFS(H34&lt;70%,0,AND(H34&gt;=70%,H34&lt;=120%),H34*60%,H34&gt;120%,120%*60%))+(_xlfn.IFS(W34&lt;70%,0,AND(W34&gt;=70%,W34&lt;=120%),W34*15%,W34&gt;120%,120%*15%))+(_xlfn.IFS(AL34&lt;70%,0,AND(AL34&gt;=70%,AL34&lt;=120%),AL34*25%,AL34&gt;120%,120%*25%))</f>
        <v>0.81973515203775982</v>
      </c>
      <c r="AW34" s="96"/>
      <c r="AX34" s="96"/>
      <c r="AY34" s="50">
        <f>AV34*(AU34)</f>
        <v>12459.974310973948</v>
      </c>
      <c r="AZ34" s="97"/>
      <c r="BA34" s="98"/>
      <c r="BB34" s="99"/>
      <c r="BC34" s="80">
        <f>SUM(AY34:BA34)</f>
        <v>12459.974310973948</v>
      </c>
      <c r="BD34" s="99"/>
      <c r="BE34" s="81"/>
      <c r="BF34" s="12"/>
      <c r="BH34" s="81"/>
      <c r="BI34" s="12"/>
      <c r="BK34" s="81"/>
      <c r="BL34" s="12"/>
      <c r="BM34" s="99"/>
      <c r="BN34" s="133">
        <v>15200</v>
      </c>
      <c r="BO34" s="24">
        <f>AV34</f>
        <v>0.81973515203775982</v>
      </c>
      <c r="BP34" s="100"/>
      <c r="BQ34" s="101">
        <f>BC34</f>
        <v>12459.974310973948</v>
      </c>
    </row>
    <row r="35" spans="1:70" x14ac:dyDescent="0.25">
      <c r="A35" t="s">
        <v>49</v>
      </c>
      <c r="B35" s="114">
        <f>'Apuração Dezembro'!B37</f>
        <v>8786132</v>
      </c>
      <c r="C35" s="16"/>
      <c r="D35" s="16"/>
      <c r="E35" s="113">
        <f>'Apuração Dezembro'!C37</f>
        <v>8459130.3800000008</v>
      </c>
      <c r="F35" s="16"/>
      <c r="G35" s="16"/>
      <c r="H35" s="11">
        <f>'Apuração Dezembro'!D37</f>
        <v>1.0024018546663442</v>
      </c>
      <c r="I35" s="1">
        <f>'Apuração Dezembro'!E37</f>
        <v>0</v>
      </c>
      <c r="J35" s="31"/>
      <c r="K35" s="31"/>
      <c r="L35" s="1">
        <f>'Apuração Dezembro'!F37</f>
        <v>0</v>
      </c>
      <c r="M35" s="31"/>
      <c r="N35" s="31"/>
      <c r="O35" s="12">
        <f>'Apuração Dezembro'!G37</f>
        <v>0</v>
      </c>
      <c r="Q35" s="114">
        <f>'Apuração Dezembro'!I37</f>
        <v>253191</v>
      </c>
      <c r="R35" s="16"/>
      <c r="S35" s="16"/>
      <c r="T35" s="113">
        <f>'Apuração Dezembro'!J37</f>
        <v>299002.49</v>
      </c>
      <c r="U35" s="16"/>
      <c r="V35" s="16"/>
      <c r="W35" s="11">
        <f>'Apuração Dezembro'!K37</f>
        <v>0.9484649743222644</v>
      </c>
      <c r="X35" s="1">
        <f>'Apuração Dezembro'!L37</f>
        <v>0</v>
      </c>
      <c r="Y35" s="31"/>
      <c r="Z35" s="31"/>
      <c r="AA35" s="1">
        <f>'Apuração Dezembro'!M37</f>
        <v>69</v>
      </c>
      <c r="AB35" s="31"/>
      <c r="AC35" s="31"/>
      <c r="AD35" s="12">
        <f>'Apuração Dezembro'!N37</f>
        <v>0</v>
      </c>
      <c r="AF35" s="114">
        <f>'Apuração Dezembro'!P37</f>
        <v>256440</v>
      </c>
      <c r="AG35" s="16"/>
      <c r="AH35" s="16"/>
      <c r="AI35" s="113">
        <f>'Apuração Dezembro'!Q37</f>
        <v>504360.85</v>
      </c>
      <c r="AJ35" s="16"/>
      <c r="AK35" s="16"/>
      <c r="AL35" s="11">
        <f>'Apuração Dezembro'!R37</f>
        <v>1.3616445762811062</v>
      </c>
      <c r="AM35" s="1">
        <f>'Apuração Dezembro'!S37</f>
        <v>0</v>
      </c>
      <c r="AN35" s="31"/>
      <c r="AO35" s="31"/>
      <c r="AP35" s="1">
        <f>'Apuração Dezembro'!T37</f>
        <v>108</v>
      </c>
      <c r="AQ35" s="31"/>
      <c r="AR35" s="31"/>
      <c r="AS35" s="12">
        <f>'Apuração Dezembro'!U37</f>
        <v>0</v>
      </c>
      <c r="AU35" s="62"/>
      <c r="AV35" s="43"/>
      <c r="AW35" s="43"/>
      <c r="AX35" s="43"/>
      <c r="AY35" s="44"/>
      <c r="AZ35" s="44"/>
      <c r="BA35" s="102"/>
      <c r="BC35" s="103"/>
      <c r="BE35" s="81"/>
      <c r="BF35" s="12"/>
      <c r="BH35" s="81"/>
      <c r="BI35" s="12"/>
      <c r="BK35" s="81"/>
      <c r="BL35" s="12"/>
      <c r="BN35" s="63"/>
      <c r="BO35" s="43"/>
      <c r="BP35" s="44"/>
      <c r="BQ35" s="104"/>
    </row>
    <row r="36" spans="1:70" x14ac:dyDescent="0.25">
      <c r="A36" t="s">
        <v>48</v>
      </c>
      <c r="B36" s="114">
        <f>'Apuração Dezembro'!B38</f>
        <v>7204584.6600000001</v>
      </c>
      <c r="C36" s="16"/>
      <c r="D36" s="16"/>
      <c r="E36" s="113">
        <f>'Apuração Dezembro'!C38</f>
        <v>8628262.5899999999</v>
      </c>
      <c r="F36" s="16"/>
      <c r="G36" s="16"/>
      <c r="H36" s="11">
        <f>'Apuração Dezembro'!D38</f>
        <v>0.86195941132666032</v>
      </c>
      <c r="I36" s="1">
        <f>'Apuração Dezembro'!E38</f>
        <v>0</v>
      </c>
      <c r="J36" s="31"/>
      <c r="K36" s="31"/>
      <c r="L36" s="1">
        <f>'Apuração Dezembro'!F38</f>
        <v>0</v>
      </c>
      <c r="M36" s="31"/>
      <c r="N36" s="31"/>
      <c r="O36" s="12">
        <f>'Apuração Dezembro'!G38</f>
        <v>0</v>
      </c>
      <c r="Q36" s="114">
        <f>'Apuração Dezembro'!I38</f>
        <v>256128.18</v>
      </c>
      <c r="R36" s="16"/>
      <c r="S36" s="16"/>
      <c r="T36" s="113">
        <f>'Apuração Dezembro'!J38</f>
        <v>428149.62</v>
      </c>
      <c r="U36" s="16"/>
      <c r="V36" s="16"/>
      <c r="W36" s="11">
        <f>'Apuração Dezembro'!K38</f>
        <v>0.95596976621800345</v>
      </c>
      <c r="X36" s="1">
        <f>'Apuração Dezembro'!L38</f>
        <v>0</v>
      </c>
      <c r="Y36" s="31"/>
      <c r="Z36" s="31"/>
      <c r="AA36" s="1">
        <f>'Apuração Dezembro'!M38</f>
        <v>73</v>
      </c>
      <c r="AB36" s="31"/>
      <c r="AC36" s="31"/>
      <c r="AD36" s="12">
        <f>'Apuração Dezembro'!N38</f>
        <v>0</v>
      </c>
      <c r="AF36" s="114">
        <f>'Apuração Dezembro'!P38</f>
        <v>234946.1</v>
      </c>
      <c r="AG36" s="16"/>
      <c r="AH36" s="16"/>
      <c r="AI36" s="113">
        <f>'Apuração Dezembro'!Q38</f>
        <v>283088.61</v>
      </c>
      <c r="AJ36" s="16"/>
      <c r="AK36" s="16"/>
      <c r="AL36" s="11">
        <f>'Apuração Dezembro'!R38</f>
        <v>0.76844022634433684</v>
      </c>
      <c r="AM36" s="1">
        <f>'Apuração Dezembro'!S38</f>
        <v>0</v>
      </c>
      <c r="AN36" s="31"/>
      <c r="AO36" s="31"/>
      <c r="AP36" s="1">
        <f>'Apuração Dezembro'!T38</f>
        <v>88</v>
      </c>
      <c r="AQ36" s="31"/>
      <c r="AR36" s="31"/>
      <c r="AS36" s="12">
        <f>'Apuração Dezembro'!U38</f>
        <v>0</v>
      </c>
      <c r="AU36" s="62"/>
      <c r="AV36" s="43"/>
      <c r="AW36" s="43"/>
      <c r="AX36" s="43"/>
      <c r="AY36" s="44"/>
      <c r="AZ36" s="44"/>
      <c r="BA36" s="102"/>
      <c r="BC36" s="103"/>
      <c r="BE36" s="81"/>
      <c r="BF36" s="12"/>
      <c r="BH36" s="81"/>
      <c r="BI36" s="12"/>
      <c r="BK36" s="81"/>
      <c r="BL36" s="12"/>
      <c r="BN36" s="63"/>
      <c r="BO36" s="43"/>
      <c r="BP36" s="44"/>
      <c r="BQ36" s="104"/>
    </row>
    <row r="37" spans="1:70" x14ac:dyDescent="0.25">
      <c r="A37" t="s">
        <v>47</v>
      </c>
      <c r="B37" s="65">
        <f>'Apuração Dezembro'!B39</f>
        <v>2503914.79</v>
      </c>
      <c r="C37" s="16"/>
      <c r="E37" s="66">
        <f>'Apuração Dezembro'!C39</f>
        <v>5220329.6399999997</v>
      </c>
      <c r="F37" s="16"/>
      <c r="G37" s="16"/>
      <c r="H37" s="11">
        <f>'Apuração Dezembro'!D39</f>
        <v>2.0848671292045045</v>
      </c>
      <c r="I37" s="1">
        <f>'Apuração Dezembro'!E39</f>
        <v>0</v>
      </c>
      <c r="L37" s="1">
        <f>'Apuração Dezembro'!F39</f>
        <v>0</v>
      </c>
      <c r="O37" s="12">
        <f>'Apuração Dezembro'!G39</f>
        <v>0</v>
      </c>
      <c r="Q37" s="65">
        <f>'Apuração Dezembro'!I39</f>
        <v>132706.26</v>
      </c>
      <c r="R37" s="16"/>
      <c r="T37" s="66">
        <f>'Apuração Dezembro'!J39</f>
        <v>412183.82</v>
      </c>
      <c r="U37" s="16"/>
      <c r="V37" s="16"/>
      <c r="W37" s="11">
        <f>'Apuração Dezembro'!K39</f>
        <v>3.1059862586738558</v>
      </c>
      <c r="X37" s="1">
        <f>'Apuração Dezembro'!L39</f>
        <v>0</v>
      </c>
      <c r="AA37" s="1">
        <f>'Apuração Dezembro'!M39</f>
        <v>36</v>
      </c>
      <c r="AD37" s="12">
        <f>'Apuração Dezembro'!N39</f>
        <v>0</v>
      </c>
      <c r="AF37" s="65">
        <f>'Apuração Dezembro'!P39</f>
        <v>27229.62</v>
      </c>
      <c r="AG37" s="16"/>
      <c r="AI37" s="66">
        <f>'Apuração Dezembro'!Q39</f>
        <v>118337.1</v>
      </c>
      <c r="AJ37" s="16"/>
      <c r="AK37" s="16"/>
      <c r="AL37" s="11">
        <f>'Apuração Dezembro'!R39</f>
        <v>4.3458961234126665</v>
      </c>
      <c r="AM37" s="1">
        <f>'Apuração Dezembro'!S39</f>
        <v>0</v>
      </c>
      <c r="AP37" s="1">
        <f>'Apuração Dezembro'!T39</f>
        <v>57</v>
      </c>
      <c r="AS37" s="12">
        <f>'Apuração Dezembro'!U39</f>
        <v>0</v>
      </c>
      <c r="AU37" s="62"/>
      <c r="AV37" s="43"/>
      <c r="AW37" s="43"/>
      <c r="AX37" s="43"/>
      <c r="AY37" s="44"/>
      <c r="AZ37" s="44"/>
      <c r="BA37" s="102"/>
      <c r="BC37" s="103"/>
      <c r="BE37" s="62"/>
      <c r="BF37" s="61"/>
      <c r="BH37" s="62"/>
      <c r="BI37" s="61"/>
      <c r="BK37" s="62"/>
      <c r="BL37" s="61"/>
      <c r="BN37" s="63"/>
      <c r="BO37" s="43"/>
      <c r="BP37" s="44"/>
      <c r="BQ37" s="104"/>
    </row>
    <row r="38" spans="1:70" s="3" customFormat="1" x14ac:dyDescent="0.25">
      <c r="A38" s="20" t="s">
        <v>37</v>
      </c>
      <c r="B38" s="56">
        <f>'Apuração Dezembro'!B40</f>
        <v>18494631.449999999</v>
      </c>
      <c r="C38" s="57"/>
      <c r="D38" s="57"/>
      <c r="E38" s="57">
        <f>'Apuração Dezembro'!C40</f>
        <v>22307722.609999999</v>
      </c>
      <c r="F38" s="57"/>
      <c r="G38" s="57"/>
      <c r="H38" s="58">
        <f>'Apuração Dezembro'!D40</f>
        <v>1.2061728653695341</v>
      </c>
      <c r="I38" s="59">
        <f>'Apuração Dezembro'!E40</f>
        <v>0</v>
      </c>
      <c r="J38" s="105"/>
      <c r="K38" s="105"/>
      <c r="L38" s="59">
        <f>'Apuração Dezembro'!F40</f>
        <v>0</v>
      </c>
      <c r="M38" s="105"/>
      <c r="N38" s="105"/>
      <c r="O38" s="60">
        <f>'Apuração Dezembro'!G40</f>
        <v>0</v>
      </c>
      <c r="P38" s="4"/>
      <c r="Q38" s="56">
        <f>'Apuração Dezembro'!I40</f>
        <v>642025.43999999994</v>
      </c>
      <c r="R38" s="57"/>
      <c r="S38" s="57"/>
      <c r="T38" s="117">
        <f>'Apuração Dezembro'!J40</f>
        <v>1139335.93</v>
      </c>
      <c r="U38" s="57"/>
      <c r="V38" s="57"/>
      <c r="W38" s="58">
        <f>'Apuração Dezembro'!K40</f>
        <v>1.7745962371833739</v>
      </c>
      <c r="X38" s="59">
        <f>'Apuração Dezembro'!L40</f>
        <v>0</v>
      </c>
      <c r="Y38" s="105"/>
      <c r="Z38" s="105"/>
      <c r="AA38" s="59">
        <f>'Apuração Dezembro'!M40</f>
        <v>178</v>
      </c>
      <c r="AB38" s="105"/>
      <c r="AC38" s="105"/>
      <c r="AD38" s="60">
        <f>'Apuração Dezembro'!N40</f>
        <v>0</v>
      </c>
      <c r="AE38" s="4"/>
      <c r="AF38" s="123">
        <f>'Apuração Dezembro'!P40</f>
        <v>518615.72</v>
      </c>
      <c r="AG38" s="57"/>
      <c r="AH38" s="57"/>
      <c r="AI38" s="117">
        <f>'Apuração Dezembro'!Q40</f>
        <v>905786.55999999994</v>
      </c>
      <c r="AJ38" s="57"/>
      <c r="AK38" s="57"/>
      <c r="AL38" s="58">
        <f>'Apuração Dezembro'!R40</f>
        <v>1.7465466723607992</v>
      </c>
      <c r="AM38" s="59">
        <f>'Apuração Dezembro'!S40</f>
        <v>0</v>
      </c>
      <c r="AN38" s="105"/>
      <c r="AO38" s="105"/>
      <c r="AP38" s="59">
        <f>'Apuração Dezembro'!T40</f>
        <v>253</v>
      </c>
      <c r="AQ38" s="105"/>
      <c r="AR38" s="105"/>
      <c r="AS38" s="60">
        <f>'Apuração Dezembro'!U40</f>
        <v>0</v>
      </c>
      <c r="AT38" s="4"/>
      <c r="AU38" s="106">
        <f>BN38</f>
        <v>21000</v>
      </c>
      <c r="AV38" s="107" cm="1">
        <f t="array" ref="AV38">(_xlfn.IFS(H38&lt;70%,0,AND(H38&gt;=70%,H38&lt;=120%),H38*60%,H38&gt;120%,120%*60%))+(_xlfn.IFS(W38&lt;70%,0,AND(W38&gt;=70%,W38&lt;=120%),W38*15%,W38&gt;120%,120%*15%))+(_xlfn.IFS(AL38&lt;70%,0,AND(AL38&gt;=70%,AL38&lt;=120%),AL38*25%,AL38&gt;120%,120%*25%))</f>
        <v>1.2</v>
      </c>
      <c r="AW38" s="107"/>
      <c r="AX38" s="107"/>
      <c r="AY38" s="83">
        <f>AV38*(AU38)</f>
        <v>25200</v>
      </c>
      <c r="AZ38" s="108"/>
      <c r="BA38" s="109"/>
      <c r="BB38" s="4"/>
      <c r="BC38" s="84">
        <f t="shared" ref="BC38" si="32">SUM(AY38:BA38)</f>
        <v>25200</v>
      </c>
      <c r="BD38" s="4"/>
      <c r="BE38" s="85"/>
      <c r="BF38" s="14"/>
      <c r="BG38" s="1"/>
      <c r="BH38" s="85"/>
      <c r="BI38" s="14"/>
      <c r="BJ38" s="1"/>
      <c r="BK38" s="85"/>
      <c r="BL38" s="14"/>
      <c r="BM38" s="4"/>
      <c r="BN38" s="133">
        <v>21000</v>
      </c>
      <c r="BO38" s="26">
        <f>AV38</f>
        <v>1.2</v>
      </c>
      <c r="BP38" s="83"/>
      <c r="BQ38" s="86">
        <f>BC38</f>
        <v>25200</v>
      </c>
      <c r="BR38" s="4"/>
    </row>
    <row r="39" spans="1:70" x14ac:dyDescent="0.25">
      <c r="B39" s="16"/>
      <c r="C39" s="16"/>
      <c r="D39" s="16"/>
      <c r="E39" s="16"/>
      <c r="F39" s="16"/>
      <c r="G39" s="16"/>
      <c r="H39" s="11"/>
      <c r="I39" s="31"/>
      <c r="J39" s="31"/>
      <c r="K39" s="31"/>
      <c r="L39" s="31"/>
      <c r="M39" s="31"/>
      <c r="N39" s="31"/>
      <c r="O39" s="11"/>
      <c r="Q39" s="16"/>
      <c r="R39" s="16"/>
      <c r="S39" s="16"/>
      <c r="U39" s="16"/>
      <c r="V39" s="16"/>
      <c r="W39" s="11"/>
      <c r="X39" s="31"/>
      <c r="Y39" s="31"/>
      <c r="Z39" s="31"/>
      <c r="AA39" s="31"/>
      <c r="AB39" s="31"/>
      <c r="AC39" s="31"/>
      <c r="AD39" s="11"/>
      <c r="AG39" s="16"/>
      <c r="AH39" s="16"/>
      <c r="AJ39" s="16"/>
      <c r="AK39" s="16"/>
      <c r="AL39" s="11"/>
      <c r="AM39" s="31"/>
      <c r="AN39" s="31"/>
      <c r="AO39" s="31"/>
      <c r="AP39" s="31"/>
      <c r="AQ39" s="31"/>
      <c r="AR39" s="31"/>
      <c r="AS39" s="11"/>
      <c r="AV39" s="43"/>
      <c r="AW39" s="43"/>
      <c r="AX39" s="43"/>
      <c r="AY39" s="44"/>
      <c r="AZ39" s="44"/>
      <c r="BA39" s="44"/>
    </row>
    <row r="40" spans="1:70" x14ac:dyDescent="0.25">
      <c r="A40" s="2"/>
      <c r="B40" s="152" t="s">
        <v>16</v>
      </c>
      <c r="C40" s="153"/>
      <c r="D40" s="153"/>
      <c r="E40" s="153"/>
      <c r="F40" s="153"/>
      <c r="G40" s="153"/>
      <c r="H40" s="154"/>
      <c r="I40" s="4"/>
      <c r="J40" s="4"/>
      <c r="K40" s="4"/>
      <c r="L40" s="4"/>
      <c r="M40" s="4"/>
      <c r="N40" s="4"/>
      <c r="O40" s="4"/>
      <c r="P40" s="4"/>
      <c r="Q40" s="155" t="s">
        <v>17</v>
      </c>
      <c r="R40" s="156"/>
      <c r="S40" s="156"/>
      <c r="T40" s="156"/>
      <c r="U40" s="156"/>
      <c r="V40" s="156"/>
      <c r="W40" s="157"/>
      <c r="X40" s="4"/>
      <c r="Y40" s="4"/>
      <c r="Z40" s="4"/>
      <c r="AA40" s="4"/>
      <c r="AB40" s="4"/>
      <c r="AC40" s="4"/>
      <c r="AD40" s="119"/>
      <c r="AE40" s="4"/>
      <c r="AF40" s="158" t="s">
        <v>18</v>
      </c>
      <c r="AG40" s="159"/>
      <c r="AH40" s="159"/>
      <c r="AI40" s="159"/>
      <c r="AJ40" s="159"/>
      <c r="AK40" s="159"/>
      <c r="AL40" s="160"/>
      <c r="AM40" s="4"/>
      <c r="AN40" s="4"/>
      <c r="AO40" s="4"/>
      <c r="AP40" s="4"/>
      <c r="AQ40" s="4"/>
      <c r="AR40" s="4"/>
      <c r="AS40" s="4"/>
      <c r="AT40" s="4"/>
      <c r="AU40" s="134" t="s">
        <v>20</v>
      </c>
      <c r="AV40" s="135"/>
      <c r="AW40" s="135"/>
      <c r="AX40" s="135"/>
      <c r="AY40" s="135"/>
      <c r="AZ40" s="47"/>
      <c r="BA40" s="48"/>
      <c r="BC40" s="74"/>
      <c r="BE40" s="75"/>
      <c r="BF40" s="76"/>
      <c r="BH40" s="75"/>
      <c r="BI40" s="76"/>
      <c r="BK40" s="75"/>
      <c r="BL40" s="76"/>
      <c r="BN40" s="75"/>
      <c r="BO40" s="77"/>
      <c r="BP40" s="77"/>
      <c r="BQ40" s="76"/>
    </row>
    <row r="41" spans="1:70" x14ac:dyDescent="0.25">
      <c r="A41" s="21"/>
      <c r="B41" s="137" t="s">
        <v>14</v>
      </c>
      <c r="C41" s="138"/>
      <c r="D41" s="138"/>
      <c r="E41" s="138"/>
      <c r="F41" s="138"/>
      <c r="G41" s="138"/>
      <c r="H41" s="139"/>
      <c r="I41" s="4"/>
      <c r="J41" s="4"/>
      <c r="K41" s="4"/>
      <c r="L41" s="4"/>
      <c r="M41" s="4"/>
      <c r="N41" s="4"/>
      <c r="O41" s="4"/>
      <c r="P41" s="4"/>
      <c r="Q41" s="137" t="s">
        <v>14</v>
      </c>
      <c r="R41" s="138"/>
      <c r="S41" s="138"/>
      <c r="T41" s="138"/>
      <c r="U41" s="138"/>
      <c r="V41" s="138"/>
      <c r="W41" s="139"/>
      <c r="X41" s="4"/>
      <c r="Y41" s="4"/>
      <c r="Z41" s="4"/>
      <c r="AA41" s="4"/>
      <c r="AB41" s="4"/>
      <c r="AC41" s="4"/>
      <c r="AD41" s="119"/>
      <c r="AE41" s="4"/>
      <c r="AF41" s="137" t="s">
        <v>14</v>
      </c>
      <c r="AG41" s="138"/>
      <c r="AH41" s="138"/>
      <c r="AI41" s="138"/>
      <c r="AJ41" s="138"/>
      <c r="AK41" s="138"/>
      <c r="AL41" s="139"/>
      <c r="AM41" s="4"/>
      <c r="AN41" s="4"/>
      <c r="AO41" s="4"/>
      <c r="AP41" s="4"/>
      <c r="AQ41" s="4"/>
      <c r="AR41" s="4"/>
      <c r="AS41" s="4"/>
      <c r="AT41" s="4"/>
      <c r="AU41" s="5"/>
      <c r="AV41" s="6" t="s">
        <v>47</v>
      </c>
      <c r="AW41" s="6" t="s">
        <v>48</v>
      </c>
      <c r="AX41" s="6" t="s">
        <v>49</v>
      </c>
      <c r="AY41" s="6" t="s">
        <v>47</v>
      </c>
      <c r="AZ41" s="6" t="s">
        <v>48</v>
      </c>
      <c r="BA41" s="7" t="s">
        <v>49</v>
      </c>
      <c r="BC41" s="78" t="s">
        <v>44</v>
      </c>
      <c r="BE41" s="146" t="s">
        <v>16</v>
      </c>
      <c r="BF41" s="148"/>
      <c r="BG41" s="4"/>
      <c r="BH41" s="149" t="s">
        <v>17</v>
      </c>
      <c r="BI41" s="151"/>
      <c r="BJ41" s="4"/>
      <c r="BK41" s="140" t="s">
        <v>18</v>
      </c>
      <c r="BL41" s="142"/>
      <c r="BM41" s="4"/>
      <c r="BN41" s="137" t="s">
        <v>20</v>
      </c>
      <c r="BO41" s="138"/>
      <c r="BP41" s="138"/>
      <c r="BQ41" s="139"/>
    </row>
    <row r="42" spans="1:70" x14ac:dyDescent="0.25">
      <c r="A42" s="20" t="s">
        <v>23</v>
      </c>
      <c r="B42" s="8" t="s">
        <v>11</v>
      </c>
      <c r="C42" s="9"/>
      <c r="D42" s="9"/>
      <c r="E42" s="9" t="s">
        <v>12</v>
      </c>
      <c r="F42" s="9"/>
      <c r="G42" s="9"/>
      <c r="H42" s="10" t="s">
        <v>13</v>
      </c>
      <c r="I42" s="4"/>
      <c r="J42" s="4"/>
      <c r="K42" s="4"/>
      <c r="L42" s="4"/>
      <c r="M42" s="4"/>
      <c r="N42" s="4"/>
      <c r="O42" s="4"/>
      <c r="P42" s="4"/>
      <c r="Q42" s="8" t="s">
        <v>11</v>
      </c>
      <c r="R42" s="9"/>
      <c r="S42" s="9"/>
      <c r="T42" s="116" t="s">
        <v>12</v>
      </c>
      <c r="U42" s="9"/>
      <c r="V42" s="9"/>
      <c r="W42" s="55" t="s">
        <v>13</v>
      </c>
      <c r="X42" s="4"/>
      <c r="Y42" s="4"/>
      <c r="Z42" s="4"/>
      <c r="AA42" s="4"/>
      <c r="AB42" s="4"/>
      <c r="AC42" s="4"/>
      <c r="AD42" s="119"/>
      <c r="AE42" s="4"/>
      <c r="AF42" s="94" t="s">
        <v>11</v>
      </c>
      <c r="AG42" s="9"/>
      <c r="AH42" s="9"/>
      <c r="AI42" s="116" t="s">
        <v>12</v>
      </c>
      <c r="AJ42" s="9"/>
      <c r="AK42" s="9"/>
      <c r="AL42" s="10" t="s">
        <v>13</v>
      </c>
      <c r="AM42" s="4"/>
      <c r="AN42" s="4"/>
      <c r="AO42" s="4"/>
      <c r="AP42" s="4"/>
      <c r="AQ42" s="4"/>
      <c r="AR42" s="4"/>
      <c r="AS42" s="4"/>
      <c r="AT42" s="4"/>
      <c r="AU42" s="8" t="s">
        <v>1</v>
      </c>
      <c r="AV42" s="161" t="s">
        <v>19</v>
      </c>
      <c r="AW42" s="161"/>
      <c r="AX42" s="161"/>
      <c r="AY42" s="161" t="s">
        <v>20</v>
      </c>
      <c r="AZ42" s="161"/>
      <c r="BA42" s="162"/>
      <c r="BC42" s="79"/>
      <c r="BE42" s="8" t="s">
        <v>14</v>
      </c>
      <c r="BF42" s="10" t="s">
        <v>15</v>
      </c>
      <c r="BG42" s="4"/>
      <c r="BH42" s="8" t="s">
        <v>14</v>
      </c>
      <c r="BI42" s="10" t="s">
        <v>15</v>
      </c>
      <c r="BJ42" s="4"/>
      <c r="BK42" s="8" t="s">
        <v>14</v>
      </c>
      <c r="BL42" s="10" t="s">
        <v>15</v>
      </c>
      <c r="BN42" s="8" t="s">
        <v>1</v>
      </c>
      <c r="BO42" s="9" t="s">
        <v>19</v>
      </c>
      <c r="BP42" s="9" t="s">
        <v>45</v>
      </c>
      <c r="BQ42" s="10" t="s">
        <v>46</v>
      </c>
    </row>
    <row r="43" spans="1:70" x14ac:dyDescent="0.25">
      <c r="A43" t="s">
        <v>43</v>
      </c>
      <c r="B43" s="15">
        <f>'Apuração Dezembro'!B46</f>
        <v>9305605.120000001</v>
      </c>
      <c r="C43" s="16"/>
      <c r="D43" s="16"/>
      <c r="E43" s="16">
        <f>'Apuração Dezembro'!C46</f>
        <v>9789641.8786729947</v>
      </c>
      <c r="F43" s="16"/>
      <c r="G43" s="16"/>
      <c r="H43" s="12">
        <f>'Apuração Dezembro'!D46</f>
        <v>1.0520156134320251</v>
      </c>
      <c r="I43" s="31"/>
      <c r="J43" s="31"/>
      <c r="K43" s="31"/>
      <c r="L43" s="31"/>
      <c r="M43" s="31"/>
      <c r="N43" s="31"/>
      <c r="O43" s="22"/>
      <c r="Q43" s="15">
        <f>'Apuração Dezembro'!I46</f>
        <v>676291.2300000001</v>
      </c>
      <c r="R43" s="16"/>
      <c r="S43" s="16"/>
      <c r="T43" s="113">
        <f>'Apuração Dezembro'!J46</f>
        <v>774949.82625699998</v>
      </c>
      <c r="U43" s="16"/>
      <c r="V43" s="16"/>
      <c r="W43" s="12">
        <f>'Apuração Dezembro'!K46</f>
        <v>1.1458818211453072</v>
      </c>
      <c r="X43" s="31"/>
      <c r="Y43" s="31"/>
      <c r="Z43" s="31"/>
      <c r="AA43" s="31"/>
      <c r="AB43" s="31"/>
      <c r="AC43" s="31"/>
      <c r="AD43" s="22"/>
      <c r="AF43" s="114">
        <f>'Apuração Dezembro'!P46</f>
        <v>380511.45999999996</v>
      </c>
      <c r="AG43" s="16"/>
      <c r="AH43" s="16"/>
      <c r="AI43" s="113">
        <f>'Apuração Dezembro'!Q46</f>
        <v>413085.13930999988</v>
      </c>
      <c r="AJ43" s="16"/>
      <c r="AK43" s="16"/>
      <c r="AL43" s="12">
        <f>'Apuração Dezembro'!R46</f>
        <v>1.0856049889009911</v>
      </c>
      <c r="AM43" s="31"/>
      <c r="AN43" s="31"/>
      <c r="AO43" s="31"/>
      <c r="AP43" s="31"/>
      <c r="AQ43" s="31"/>
      <c r="AR43" s="31"/>
      <c r="AS43" s="22"/>
      <c r="AU43" s="87">
        <f t="shared" ref="AU43:AU44" si="33">BN43</f>
        <v>5800</v>
      </c>
      <c r="AV43" s="24" cm="1">
        <f t="array" ref="AV43">(_xlfn.IFS(H43&lt;70%,0,AND(H43&gt;=70%,H43&lt;=120%),H43*60%,H43&gt;120%,120%*60%))+(_xlfn.IFS(W43&lt;70%,0,AND(W43&gt;=70%,W43&lt;=120%),W43*15%,W43&gt;120%,120%*15%))+(_xlfn.IFS(AL43&lt;70%,0,AND(AL43&gt;=70%,AL43&lt;=120%),AL43*25%,AL43&gt;120%,120%*25%))</f>
        <v>1.0744928884562588</v>
      </c>
      <c r="AW43" s="24"/>
      <c r="AX43" s="24"/>
      <c r="AY43" s="50">
        <f t="shared" ref="AY43:AY44" si="34">AV43*(AU43/4)</f>
        <v>1558.0146882615752</v>
      </c>
      <c r="AZ43" s="50"/>
      <c r="BA43" s="29"/>
      <c r="BC43" s="80">
        <f t="shared" ref="BC43:BC45" si="35">SUM(AY43:BA43)</f>
        <v>1558.0146882615752</v>
      </c>
      <c r="BE43" s="81"/>
      <c r="BF43" s="12"/>
      <c r="BH43" s="81"/>
      <c r="BI43" s="12"/>
      <c r="BK43" s="81"/>
      <c r="BL43" s="12"/>
      <c r="BN43" s="133">
        <v>5800</v>
      </c>
      <c r="BO43" s="43">
        <f t="shared" ref="BO43:BO44" si="36">AV43</f>
        <v>1.0744928884562588</v>
      </c>
      <c r="BP43" s="50"/>
      <c r="BQ43" s="82">
        <f t="shared" ref="BQ43:BQ44" si="37">BC43</f>
        <v>1558.0146882615752</v>
      </c>
    </row>
    <row r="44" spans="1:70" x14ac:dyDescent="0.25">
      <c r="A44" t="s">
        <v>38</v>
      </c>
      <c r="B44" s="15">
        <f>'Apuração Dezembro'!B47</f>
        <v>9305605.120000001</v>
      </c>
      <c r="C44" s="16"/>
      <c r="D44" s="16"/>
      <c r="E44" s="16">
        <f>'Apuração Dezembro'!C47</f>
        <v>9789641.8786729947</v>
      </c>
      <c r="F44" s="16"/>
      <c r="G44" s="16"/>
      <c r="H44" s="12">
        <f>'Apuração Dezembro'!D47</f>
        <v>1.0520156134320251</v>
      </c>
      <c r="I44" s="31"/>
      <c r="J44" s="31"/>
      <c r="K44" s="31"/>
      <c r="L44" s="31"/>
      <c r="M44" s="31"/>
      <c r="N44" s="31"/>
      <c r="O44" s="22"/>
      <c r="Q44" s="15">
        <f>'Apuração Dezembro'!I47</f>
        <v>676291.2300000001</v>
      </c>
      <c r="R44" s="16"/>
      <c r="S44" s="16"/>
      <c r="T44" s="113">
        <f>'Apuração Dezembro'!J47</f>
        <v>774949.82625699998</v>
      </c>
      <c r="U44" s="16"/>
      <c r="V44" s="16"/>
      <c r="W44" s="12">
        <f>'Apuração Dezembro'!K47</f>
        <v>1.1458818211453072</v>
      </c>
      <c r="X44" s="31"/>
      <c r="Y44" s="31"/>
      <c r="Z44" s="31"/>
      <c r="AA44" s="31"/>
      <c r="AB44" s="31"/>
      <c r="AC44" s="31"/>
      <c r="AD44" s="22"/>
      <c r="AF44" s="114">
        <f>'Apuração Dezembro'!P47</f>
        <v>380511.45999999996</v>
      </c>
      <c r="AG44" s="16"/>
      <c r="AH44" s="16"/>
      <c r="AI44" s="113">
        <f>'Apuração Dezembro'!Q47</f>
        <v>413085.13930999988</v>
      </c>
      <c r="AJ44" s="16"/>
      <c r="AK44" s="16"/>
      <c r="AL44" s="12">
        <f>'Apuração Dezembro'!R47</f>
        <v>1.0856049889009911</v>
      </c>
      <c r="AM44" s="31"/>
      <c r="AN44" s="31"/>
      <c r="AO44" s="31"/>
      <c r="AP44" s="31"/>
      <c r="AQ44" s="31"/>
      <c r="AR44" s="31"/>
      <c r="AS44" s="22"/>
      <c r="AU44" s="87">
        <f t="shared" si="33"/>
        <v>3220</v>
      </c>
      <c r="AV44" s="24" cm="1">
        <f t="array" ref="AV44">(_xlfn.IFS(H44&lt;70%,0,AND(H44&gt;=70%,H44&lt;=120%),H44*60%,H44&gt;120%,120%*60%))+(_xlfn.IFS(W44&lt;70%,0,AND(W44&gt;=70%,W44&lt;=120%),W44*15%,W44&gt;120%,120%*15%))+(_xlfn.IFS(AL44&lt;70%,0,AND(AL44&gt;=70%,AL44&lt;=120%),AL44*25%,AL44&gt;120%,120%*25%))</f>
        <v>1.0744928884562588</v>
      </c>
      <c r="AW44" s="24"/>
      <c r="AX44" s="24"/>
      <c r="AY44" s="50">
        <f t="shared" si="34"/>
        <v>864.96677520728838</v>
      </c>
      <c r="AZ44" s="50"/>
      <c r="BA44" s="29"/>
      <c r="BC44" s="80">
        <f t="shared" si="35"/>
        <v>864.96677520728838</v>
      </c>
      <c r="BE44" s="81"/>
      <c r="BF44" s="12"/>
      <c r="BH44" s="81"/>
      <c r="BI44" s="12"/>
      <c r="BK44" s="81"/>
      <c r="BL44" s="12"/>
      <c r="BN44" s="133">
        <v>3220</v>
      </c>
      <c r="BO44" s="43">
        <f t="shared" si="36"/>
        <v>1.0744928884562588</v>
      </c>
      <c r="BP44" s="50"/>
      <c r="BQ44" s="82">
        <f t="shared" si="37"/>
        <v>864.96677520728838</v>
      </c>
    </row>
    <row r="45" spans="1:70" x14ac:dyDescent="0.25">
      <c r="A45" t="s">
        <v>31</v>
      </c>
      <c r="B45" s="17">
        <f>'Apuração Dezembro'!B48</f>
        <v>9305605.120000001</v>
      </c>
      <c r="C45" s="18"/>
      <c r="D45" s="18"/>
      <c r="E45" s="18">
        <f>'Apuração Dezembro'!C48</f>
        <v>9789641.8786729947</v>
      </c>
      <c r="F45" s="18"/>
      <c r="G45" s="18"/>
      <c r="H45" s="14">
        <f>'Apuração Dezembro'!D48</f>
        <v>1.0520156134320251</v>
      </c>
      <c r="Q45" s="17">
        <f>'Apuração Dezembro'!I48</f>
        <v>676291.2300000001</v>
      </c>
      <c r="R45" s="18"/>
      <c r="S45" s="18"/>
      <c r="T45" s="115">
        <f>'Apuração Dezembro'!J48</f>
        <v>774949.82625699998</v>
      </c>
      <c r="U45" s="18"/>
      <c r="V45" s="18"/>
      <c r="W45" s="14">
        <f>'Apuração Dezembro'!K48</f>
        <v>1.1458818211453072</v>
      </c>
      <c r="AF45" s="122">
        <f>'Apuração Dezembro'!P48</f>
        <v>380511.45999999996</v>
      </c>
      <c r="AG45" s="18"/>
      <c r="AH45" s="18"/>
      <c r="AI45" s="115">
        <f>'Apuração Dezembro'!Q48</f>
        <v>413085.13930999988</v>
      </c>
      <c r="AJ45" s="18"/>
      <c r="AK45" s="18"/>
      <c r="AL45" s="14">
        <f>'Apuração Dezembro'!R48</f>
        <v>1.0856049889009911</v>
      </c>
      <c r="AS45" s="42"/>
      <c r="AU45" s="88">
        <f>BN45</f>
        <v>7250</v>
      </c>
      <c r="AV45" s="26" cm="1">
        <f t="array" ref="AV45">(_xlfn.IFS(H45&lt;70%,0,AND(H45&gt;=70%,H45&lt;=120%),H45*60%,H45&gt;120%,120%*60%))+(_xlfn.IFS(W45&lt;70%,0,AND(W45&gt;=70%,W45&lt;=120%),W45*15%,W45&gt;120%,120%*15%))+(_xlfn.IFS(AL45&lt;70%,0,AND(AL45&gt;=70%,AL45&lt;=120%),AL45*25%,AL45&gt;120%,120%*25%))</f>
        <v>1.0744928884562588</v>
      </c>
      <c r="AW45" s="26"/>
      <c r="AX45" s="26"/>
      <c r="AY45" s="83">
        <f>AV45*(AU45/4)</f>
        <v>1947.5183603269691</v>
      </c>
      <c r="AZ45" s="83"/>
      <c r="BA45" s="30"/>
      <c r="BC45" s="84">
        <f t="shared" si="35"/>
        <v>1947.5183603269691</v>
      </c>
      <c r="BD45" s="4"/>
      <c r="BE45" s="110"/>
      <c r="BF45" s="111"/>
      <c r="BG45" s="4"/>
      <c r="BH45" s="110"/>
      <c r="BI45" s="111"/>
      <c r="BJ45" s="4"/>
      <c r="BK45" s="110"/>
      <c r="BL45" s="111"/>
      <c r="BM45" s="4"/>
      <c r="BN45" s="133">
        <v>7250</v>
      </c>
      <c r="BO45" s="26">
        <f>AV45</f>
        <v>1.0744928884562588</v>
      </c>
      <c r="BP45" s="83"/>
      <c r="BQ45" s="86">
        <f>BC45</f>
        <v>1947.5183603269691</v>
      </c>
    </row>
    <row r="47" spans="1:70" x14ac:dyDescent="0.25">
      <c r="A47" s="2"/>
      <c r="B47" s="152" t="s">
        <v>16</v>
      </c>
      <c r="C47" s="153"/>
      <c r="D47" s="153"/>
      <c r="E47" s="153"/>
      <c r="F47" s="153"/>
      <c r="G47" s="153"/>
      <c r="H47" s="154"/>
      <c r="I47" s="4"/>
      <c r="J47" s="4"/>
      <c r="K47" s="4"/>
      <c r="L47" s="4"/>
      <c r="M47" s="4"/>
      <c r="N47" s="4"/>
      <c r="O47" s="4"/>
      <c r="P47" s="4"/>
      <c r="Q47" s="155" t="s">
        <v>17</v>
      </c>
      <c r="R47" s="156"/>
      <c r="S47" s="156"/>
      <c r="T47" s="156"/>
      <c r="U47" s="156"/>
      <c r="V47" s="156"/>
      <c r="W47" s="157"/>
      <c r="X47" s="4"/>
      <c r="Y47" s="4"/>
      <c r="Z47" s="4"/>
      <c r="AA47" s="4"/>
      <c r="AB47" s="4"/>
      <c r="AC47" s="4"/>
      <c r="AD47" s="119"/>
      <c r="AE47" s="4"/>
      <c r="AF47" s="158" t="s">
        <v>18</v>
      </c>
      <c r="AG47" s="159"/>
      <c r="AH47" s="159"/>
      <c r="AI47" s="159"/>
      <c r="AJ47" s="159"/>
      <c r="AK47" s="159"/>
      <c r="AL47" s="160"/>
      <c r="AM47" s="4"/>
      <c r="AN47" s="4"/>
      <c r="AO47" s="4"/>
      <c r="AP47" s="4"/>
      <c r="AQ47" s="4"/>
      <c r="AR47" s="4"/>
      <c r="AS47" s="4"/>
      <c r="AT47" s="4"/>
      <c r="AU47" s="134" t="s">
        <v>20</v>
      </c>
      <c r="AV47" s="135"/>
      <c r="AW47" s="135"/>
      <c r="AX47" s="135"/>
      <c r="AY47" s="135"/>
      <c r="AZ47" s="47"/>
      <c r="BA47" s="48"/>
      <c r="BC47" s="74"/>
      <c r="BE47" s="75"/>
      <c r="BF47" s="76"/>
      <c r="BH47" s="75"/>
      <c r="BI47" s="76"/>
      <c r="BK47" s="75"/>
      <c r="BL47" s="76"/>
      <c r="BN47" s="75"/>
      <c r="BO47" s="77"/>
      <c r="BP47" s="77"/>
      <c r="BQ47" s="76"/>
    </row>
    <row r="48" spans="1:70" x14ac:dyDescent="0.25">
      <c r="A48" s="21"/>
      <c r="B48" s="137" t="s">
        <v>14</v>
      </c>
      <c r="C48" s="138"/>
      <c r="D48" s="138"/>
      <c r="E48" s="138"/>
      <c r="F48" s="138"/>
      <c r="G48" s="138"/>
      <c r="H48" s="139"/>
      <c r="I48" s="4"/>
      <c r="J48" s="4"/>
      <c r="K48" s="4"/>
      <c r="L48" s="4"/>
      <c r="M48" s="4"/>
      <c r="N48" s="4"/>
      <c r="O48" s="4"/>
      <c r="P48" s="4"/>
      <c r="Q48" s="137" t="s">
        <v>14</v>
      </c>
      <c r="R48" s="138"/>
      <c r="S48" s="138"/>
      <c r="T48" s="138"/>
      <c r="U48" s="138"/>
      <c r="V48" s="138"/>
      <c r="W48" s="139"/>
      <c r="X48" s="4"/>
      <c r="Y48" s="4"/>
      <c r="Z48" s="4"/>
      <c r="AA48" s="4"/>
      <c r="AB48" s="4"/>
      <c r="AC48" s="4"/>
      <c r="AD48" s="119"/>
      <c r="AE48" s="4"/>
      <c r="AF48" s="137" t="s">
        <v>14</v>
      </c>
      <c r="AG48" s="138"/>
      <c r="AH48" s="138"/>
      <c r="AI48" s="138"/>
      <c r="AJ48" s="138"/>
      <c r="AK48" s="138"/>
      <c r="AL48" s="139"/>
      <c r="AM48" s="4"/>
      <c r="AN48" s="4"/>
      <c r="AO48" s="4"/>
      <c r="AP48" s="4"/>
      <c r="AQ48" s="4"/>
      <c r="AR48" s="4"/>
      <c r="AS48" s="4"/>
      <c r="AT48" s="4"/>
      <c r="AU48" s="5"/>
      <c r="AV48" s="6" t="s">
        <v>47</v>
      </c>
      <c r="AW48" s="6" t="s">
        <v>48</v>
      </c>
      <c r="AX48" s="6" t="s">
        <v>49</v>
      </c>
      <c r="AY48" s="6" t="s">
        <v>47</v>
      </c>
      <c r="AZ48" s="6" t="s">
        <v>48</v>
      </c>
      <c r="BA48" s="7" t="s">
        <v>49</v>
      </c>
      <c r="BC48" s="78" t="s">
        <v>44</v>
      </c>
      <c r="BE48" s="146" t="s">
        <v>16</v>
      </c>
      <c r="BF48" s="148"/>
      <c r="BG48" s="4"/>
      <c r="BH48" s="149" t="s">
        <v>17</v>
      </c>
      <c r="BI48" s="151"/>
      <c r="BJ48" s="4"/>
      <c r="BK48" s="140" t="s">
        <v>18</v>
      </c>
      <c r="BL48" s="142"/>
      <c r="BM48" s="4"/>
      <c r="BN48" s="137" t="s">
        <v>20</v>
      </c>
      <c r="BO48" s="138"/>
      <c r="BP48" s="138"/>
      <c r="BQ48" s="139"/>
    </row>
    <row r="49" spans="1:69" x14ac:dyDescent="0.25">
      <c r="A49" s="20" t="s">
        <v>26</v>
      </c>
      <c r="B49" s="8" t="s">
        <v>11</v>
      </c>
      <c r="C49" s="9"/>
      <c r="D49" s="9"/>
      <c r="E49" s="9" t="s">
        <v>12</v>
      </c>
      <c r="F49" s="9"/>
      <c r="G49" s="9"/>
      <c r="H49" s="10" t="s">
        <v>13</v>
      </c>
      <c r="I49" s="4"/>
      <c r="J49" s="4"/>
      <c r="K49" s="4"/>
      <c r="L49" s="4"/>
      <c r="M49" s="4"/>
      <c r="N49" s="4"/>
      <c r="O49" s="4"/>
      <c r="P49" s="4"/>
      <c r="Q49" s="8" t="s">
        <v>11</v>
      </c>
      <c r="R49" s="9"/>
      <c r="S49" s="9"/>
      <c r="T49" s="116" t="s">
        <v>12</v>
      </c>
      <c r="U49" s="9"/>
      <c r="V49" s="9"/>
      <c r="W49" s="55" t="s">
        <v>13</v>
      </c>
      <c r="X49" s="4"/>
      <c r="Y49" s="4"/>
      <c r="Z49" s="4"/>
      <c r="AA49" s="4"/>
      <c r="AB49" s="4"/>
      <c r="AC49" s="4"/>
      <c r="AD49" s="119"/>
      <c r="AE49" s="4"/>
      <c r="AF49" s="94" t="s">
        <v>11</v>
      </c>
      <c r="AG49" s="9"/>
      <c r="AH49" s="9"/>
      <c r="AI49" s="116" t="s">
        <v>12</v>
      </c>
      <c r="AJ49" s="9"/>
      <c r="AK49" s="9"/>
      <c r="AL49" s="10" t="s">
        <v>13</v>
      </c>
      <c r="AM49" s="4"/>
      <c r="AN49" s="4"/>
      <c r="AO49" s="4"/>
      <c r="AP49" s="4"/>
      <c r="AQ49" s="4"/>
      <c r="AR49" s="4"/>
      <c r="AS49" s="4"/>
      <c r="AT49" s="4"/>
      <c r="AU49" s="8" t="s">
        <v>1</v>
      </c>
      <c r="AV49" s="9" t="s">
        <v>19</v>
      </c>
      <c r="AW49" s="9"/>
      <c r="AX49" s="9"/>
      <c r="AY49" s="9" t="s">
        <v>20</v>
      </c>
      <c r="AZ49" s="9"/>
      <c r="BA49" s="10"/>
      <c r="BC49" s="79"/>
      <c r="BE49" s="8" t="s">
        <v>14</v>
      </c>
      <c r="BF49" s="10" t="s">
        <v>15</v>
      </c>
      <c r="BG49" s="4"/>
      <c r="BH49" s="8" t="s">
        <v>14</v>
      </c>
      <c r="BI49" s="10" t="s">
        <v>15</v>
      </c>
      <c r="BJ49" s="4"/>
      <c r="BK49" s="8" t="s">
        <v>14</v>
      </c>
      <c r="BL49" s="10" t="s">
        <v>15</v>
      </c>
      <c r="BN49" s="8" t="s">
        <v>1</v>
      </c>
      <c r="BO49" s="9" t="s">
        <v>19</v>
      </c>
      <c r="BP49" s="9" t="s">
        <v>45</v>
      </c>
      <c r="BQ49" s="10" t="s">
        <v>46</v>
      </c>
    </row>
    <row r="50" spans="1:69" x14ac:dyDescent="0.25">
      <c r="A50" t="s">
        <v>27</v>
      </c>
      <c r="B50" s="15">
        <f>'Apuração Dezembro'!B53</f>
        <v>9305605.120000001</v>
      </c>
      <c r="C50" s="16"/>
      <c r="D50" s="16"/>
      <c r="E50" s="16">
        <f>'Apuração Dezembro'!C53</f>
        <v>9789641.8786729947</v>
      </c>
      <c r="F50" s="16"/>
      <c r="G50" s="16"/>
      <c r="H50" s="12">
        <f>'Apuração Dezembro'!D53</f>
        <v>1.0520156134320251</v>
      </c>
      <c r="I50" s="31"/>
      <c r="J50" s="31"/>
      <c r="K50" s="31"/>
      <c r="L50" s="31"/>
      <c r="M50" s="31"/>
      <c r="N50" s="31"/>
      <c r="O50" s="22"/>
      <c r="Q50" s="15">
        <f>'Apuração Dezembro'!I53</f>
        <v>676291.2300000001</v>
      </c>
      <c r="R50" s="16"/>
      <c r="S50" s="16"/>
      <c r="T50" s="113">
        <f>'Apuração Dezembro'!J53</f>
        <v>774949.82625699998</v>
      </c>
      <c r="U50" s="16"/>
      <c r="V50" s="16"/>
      <c r="W50" s="12">
        <f>'Apuração Dezembro'!K53</f>
        <v>1.1458818211453072</v>
      </c>
      <c r="X50" s="31"/>
      <c r="Y50" s="31"/>
      <c r="Z50" s="31"/>
      <c r="AA50" s="31"/>
      <c r="AB50" s="31"/>
      <c r="AC50" s="31"/>
      <c r="AD50" s="22"/>
      <c r="AF50" s="114">
        <f>'Apuração Dezembro'!P53</f>
        <v>380511.45999999996</v>
      </c>
      <c r="AG50" s="16"/>
      <c r="AH50" s="16"/>
      <c r="AI50" s="113">
        <f>'Apuração Dezembro'!Q53</f>
        <v>413085.13930999988</v>
      </c>
      <c r="AJ50" s="16"/>
      <c r="AK50" s="16"/>
      <c r="AL50" s="12">
        <f>'Apuração Dezembro'!R53</f>
        <v>1.0856049889009911</v>
      </c>
      <c r="AM50" s="31"/>
      <c r="AN50" s="31"/>
      <c r="AO50" s="31"/>
      <c r="AP50" s="31"/>
      <c r="AQ50" s="31"/>
      <c r="AR50" s="31"/>
      <c r="AS50" s="22"/>
      <c r="AU50" s="87">
        <f>BN50</f>
        <v>11007.15</v>
      </c>
      <c r="AV50" s="24" cm="1">
        <f t="array" ref="AV50">(_xlfn.IFS(H50&lt;70%,0,AND(H50&gt;=70%,H50&lt;=120%),H50*60%,H50&gt;120%,120%*60%))+(_xlfn.IFS(W50&lt;70%,0,AND(W50&gt;=70%,W50&lt;=120%),W50*15%,W50&gt;120%,120%*15%))+(_xlfn.IFS(AL50&lt;70%,0,AND(AL50&gt;=70%,AL50&lt;=120%),AL50*25%,AL50&gt;120%,120%*25%))</f>
        <v>1.0744928884562588</v>
      </c>
      <c r="AW50" s="24"/>
      <c r="AX50" s="24"/>
      <c r="AY50" s="50">
        <f>AV50*(AU50*0.15)</f>
        <v>1774.0656595756964</v>
      </c>
      <c r="AZ50" s="50"/>
      <c r="BA50" s="29"/>
      <c r="BC50" s="80">
        <f t="shared" ref="BC50:BC52" si="38">SUM(AY50:BA50)</f>
        <v>1774.0656595756964</v>
      </c>
      <c r="BE50" s="81"/>
      <c r="BF50" s="12"/>
      <c r="BH50" s="81"/>
      <c r="BI50" s="12"/>
      <c r="BK50" s="81"/>
      <c r="BL50" s="12"/>
      <c r="BN50" s="133">
        <v>11007.15</v>
      </c>
      <c r="BO50" s="43">
        <f>AV50</f>
        <v>1.0744928884562588</v>
      </c>
      <c r="BP50" s="50"/>
      <c r="BQ50" s="82">
        <f>BC50</f>
        <v>1774.0656595756964</v>
      </c>
    </row>
    <row r="51" spans="1:69" x14ac:dyDescent="0.25">
      <c r="A51" t="s">
        <v>39</v>
      </c>
      <c r="B51" s="15">
        <f>'Apuração Dezembro'!B54</f>
        <v>9305605.120000001</v>
      </c>
      <c r="C51" s="16"/>
      <c r="D51" s="16"/>
      <c r="E51" s="16">
        <f>'Apuração Dezembro'!C54</f>
        <v>9789641.8786729947</v>
      </c>
      <c r="F51" s="16"/>
      <c r="G51" s="16"/>
      <c r="H51" s="12">
        <f>'Apuração Dezembro'!D54</f>
        <v>1.0520156134320251</v>
      </c>
      <c r="I51" s="31"/>
      <c r="J51" s="31"/>
      <c r="K51" s="31"/>
      <c r="L51" s="31"/>
      <c r="M51" s="31"/>
      <c r="N51" s="31"/>
      <c r="O51" s="22"/>
      <c r="Q51" s="15">
        <f>'Apuração Dezembro'!I54</f>
        <v>676291.2300000001</v>
      </c>
      <c r="R51" s="16"/>
      <c r="S51" s="16"/>
      <c r="T51" s="113">
        <f>'Apuração Dezembro'!J54</f>
        <v>774949.82625699998</v>
      </c>
      <c r="U51" s="16"/>
      <c r="V51" s="16"/>
      <c r="W51" s="12">
        <f>'Apuração Dezembro'!K54</f>
        <v>1.1458818211453072</v>
      </c>
      <c r="X51" s="31"/>
      <c r="Y51" s="31"/>
      <c r="Z51" s="31"/>
      <c r="AA51" s="31"/>
      <c r="AB51" s="31"/>
      <c r="AC51" s="31"/>
      <c r="AD51" s="22"/>
      <c r="AF51" s="114">
        <f>'Apuração Dezembro'!P54</f>
        <v>380511.45999999996</v>
      </c>
      <c r="AG51" s="16"/>
      <c r="AH51" s="16"/>
      <c r="AI51" s="113">
        <f>'Apuração Dezembro'!Q54</f>
        <v>413085.13930999988</v>
      </c>
      <c r="AJ51" s="16"/>
      <c r="AK51" s="16"/>
      <c r="AL51" s="12">
        <f>'Apuração Dezembro'!R54</f>
        <v>1.0856049889009911</v>
      </c>
      <c r="AM51" s="31"/>
      <c r="AN51" s="31"/>
      <c r="AO51" s="31"/>
      <c r="AP51" s="31"/>
      <c r="AQ51" s="31"/>
      <c r="AR51" s="31"/>
      <c r="AS51" s="22"/>
      <c r="AU51" s="87">
        <f t="shared" ref="AU51" si="39">BN51</f>
        <v>6191.52</v>
      </c>
      <c r="AV51" s="24" cm="1">
        <f t="array" ref="AV51">(_xlfn.IFS(H51&lt;70%,0,AND(H51&gt;=70%,H51&lt;=120%),H51*60%,H51&gt;120%,120%*60%))+(_xlfn.IFS(W51&lt;70%,0,AND(W51&gt;=70%,W51&lt;=120%),W51*15%,W51&gt;120%,120%*15%))+(_xlfn.IFS(AL51&lt;70%,0,AND(AL51&gt;=70%,AL51&lt;=120%),AL51*25%,AL51&gt;120%,120%*25%))</f>
        <v>1.0744928884562588</v>
      </c>
      <c r="AW51" s="24"/>
      <c r="AX51" s="24"/>
      <c r="AY51" s="50">
        <f t="shared" ref="AY51" si="40">AV51*(AU51*0.15)</f>
        <v>997.91163131020437</v>
      </c>
      <c r="AZ51" s="50"/>
      <c r="BA51" s="29"/>
      <c r="BC51" s="80">
        <f t="shared" ref="BC51" si="41">SUM(AY51:BA51)</f>
        <v>997.91163131020437</v>
      </c>
      <c r="BE51" s="81"/>
      <c r="BF51" s="12"/>
      <c r="BH51" s="81"/>
      <c r="BI51" s="12"/>
      <c r="BK51" s="81"/>
      <c r="BL51" s="12"/>
      <c r="BN51" s="133">
        <v>6191.52</v>
      </c>
      <c r="BO51" s="43">
        <f>AV51</f>
        <v>1.0744928884562588</v>
      </c>
      <c r="BP51" s="50"/>
      <c r="BQ51" s="82">
        <f t="shared" ref="BQ51:BQ52" si="42">BC51</f>
        <v>997.91163131020437</v>
      </c>
    </row>
    <row r="52" spans="1:69" x14ac:dyDescent="0.25">
      <c r="A52" t="s">
        <v>28</v>
      </c>
      <c r="B52" s="17">
        <f>'Apuração Dezembro'!B55</f>
        <v>9305605.120000001</v>
      </c>
      <c r="C52" s="18"/>
      <c r="D52" s="18"/>
      <c r="E52" s="18">
        <f>'Apuração Dezembro'!C55</f>
        <v>9789641.8786729947</v>
      </c>
      <c r="F52" s="18"/>
      <c r="G52" s="18"/>
      <c r="H52" s="14">
        <f>'Apuração Dezembro'!D55</f>
        <v>1.0520156134320251</v>
      </c>
      <c r="I52" s="31"/>
      <c r="J52" s="31"/>
      <c r="K52" s="31"/>
      <c r="L52" s="31"/>
      <c r="M52" s="31"/>
      <c r="N52" s="31"/>
      <c r="O52" s="22"/>
      <c r="Q52" s="17">
        <f>'Apuração Dezembro'!I55</f>
        <v>676291.2300000001</v>
      </c>
      <c r="R52" s="18"/>
      <c r="S52" s="18"/>
      <c r="T52" s="115">
        <f>'Apuração Dezembro'!J55</f>
        <v>774949.82625699998</v>
      </c>
      <c r="U52" s="18"/>
      <c r="V52" s="18"/>
      <c r="W52" s="14">
        <f>'Apuração Dezembro'!K55</f>
        <v>1.1458818211453072</v>
      </c>
      <c r="X52" s="31"/>
      <c r="Y52" s="31"/>
      <c r="Z52" s="31"/>
      <c r="AA52" s="31"/>
      <c r="AB52" s="31"/>
      <c r="AC52" s="31"/>
      <c r="AD52" s="22"/>
      <c r="AF52" s="122">
        <f>'Apuração Dezembro'!P55</f>
        <v>380511.45999999996</v>
      </c>
      <c r="AG52" s="18"/>
      <c r="AH52" s="18"/>
      <c r="AI52" s="115">
        <f>'Apuração Dezembro'!Q55</f>
        <v>413085.13930999988</v>
      </c>
      <c r="AJ52" s="18"/>
      <c r="AK52" s="18"/>
      <c r="AL52" s="14">
        <f>'Apuração Dezembro'!R55</f>
        <v>1.0856049889009911</v>
      </c>
      <c r="AM52" s="31"/>
      <c r="AN52" s="31"/>
      <c r="AO52" s="31"/>
      <c r="AP52" s="31"/>
      <c r="AQ52" s="31"/>
      <c r="AR52" s="31"/>
      <c r="AS52" s="22"/>
      <c r="AU52" s="88">
        <f t="shared" ref="AU52" si="43">BN52</f>
        <v>4815</v>
      </c>
      <c r="AV52" s="26" cm="1">
        <f t="array" ref="AV52">(_xlfn.IFS(H52&lt;70%,0,AND(H52&gt;=70%,H52&lt;=120%),H52*60%,H52&gt;120%,120%*60%))+(_xlfn.IFS(W52&lt;70%,0,AND(W52&gt;=70%,W52&lt;=120%),W52*15%,W52&gt;120%,120%*15%))+(_xlfn.IFS(AL52&lt;70%,0,AND(AL52&gt;=70%,AL52&lt;=120%),AL52*25%,AL52&gt;120%,120%*25%))</f>
        <v>1.0744928884562588</v>
      </c>
      <c r="AW52" s="26"/>
      <c r="AX52" s="26"/>
      <c r="AY52" s="83">
        <f t="shared" ref="AY52" si="44">AV52*(AU52*0.15)</f>
        <v>776.0524886875329</v>
      </c>
      <c r="AZ52" s="83"/>
      <c r="BA52" s="30"/>
      <c r="BC52" s="84">
        <f t="shared" si="38"/>
        <v>776.0524886875329</v>
      </c>
      <c r="BD52" s="4"/>
      <c r="BE52" s="110"/>
      <c r="BF52" s="111"/>
      <c r="BG52" s="4"/>
      <c r="BH52" s="110"/>
      <c r="BI52" s="111"/>
      <c r="BJ52" s="4"/>
      <c r="BK52" s="110"/>
      <c r="BL52" s="111"/>
      <c r="BM52" s="4"/>
      <c r="BN52" s="133">
        <v>4815</v>
      </c>
      <c r="BO52" s="26">
        <f>AV52</f>
        <v>1.0744928884562588</v>
      </c>
      <c r="BP52" s="83"/>
      <c r="BQ52" s="86">
        <f t="shared" si="42"/>
        <v>776.0524886875329</v>
      </c>
    </row>
  </sheetData>
  <sheetProtection selectLockedCells="1"/>
  <mergeCells count="76">
    <mergeCell ref="BN29:BQ29"/>
    <mergeCell ref="AV42:AX42"/>
    <mergeCell ref="AY42:BA42"/>
    <mergeCell ref="BE29:BF29"/>
    <mergeCell ref="BH29:BI29"/>
    <mergeCell ref="BK29:BL29"/>
    <mergeCell ref="BE48:BF48"/>
    <mergeCell ref="BH48:BI48"/>
    <mergeCell ref="BK48:BL48"/>
    <mergeCell ref="BN48:BQ48"/>
    <mergeCell ref="BE41:BF41"/>
    <mergeCell ref="BH41:BI41"/>
    <mergeCell ref="BK41:BL41"/>
    <mergeCell ref="BN41:BQ41"/>
    <mergeCell ref="B47:H47"/>
    <mergeCell ref="Q47:W47"/>
    <mergeCell ref="AF47:AL47"/>
    <mergeCell ref="AU47:AY47"/>
    <mergeCell ref="B48:H48"/>
    <mergeCell ref="Q48:W48"/>
    <mergeCell ref="AF48:AL48"/>
    <mergeCell ref="B40:H40"/>
    <mergeCell ref="Q40:W40"/>
    <mergeCell ref="AF40:AL40"/>
    <mergeCell ref="AU40:AY40"/>
    <mergeCell ref="B41:H41"/>
    <mergeCell ref="Q41:W41"/>
    <mergeCell ref="AF41:AL41"/>
    <mergeCell ref="B28:O28"/>
    <mergeCell ref="Q28:AD28"/>
    <mergeCell ref="AF28:AS28"/>
    <mergeCell ref="AU28:BA28"/>
    <mergeCell ref="AV30:AX30"/>
    <mergeCell ref="AY30:BA30"/>
    <mergeCell ref="B29:H29"/>
    <mergeCell ref="I29:O29"/>
    <mergeCell ref="Q29:W29"/>
    <mergeCell ref="X29:AD29"/>
    <mergeCell ref="AF29:AL29"/>
    <mergeCell ref="AM29:AS29"/>
    <mergeCell ref="BE24:BF24"/>
    <mergeCell ref="BH24:BI24"/>
    <mergeCell ref="BK24:BL24"/>
    <mergeCell ref="BN24:BQ24"/>
    <mergeCell ref="B24:E24"/>
    <mergeCell ref="F24:I24"/>
    <mergeCell ref="AJ24:AM24"/>
    <mergeCell ref="AN24:AS24"/>
    <mergeCell ref="BK2:BL2"/>
    <mergeCell ref="BN2:BQ2"/>
    <mergeCell ref="B2:E2"/>
    <mergeCell ref="F2:I2"/>
    <mergeCell ref="J2:O2"/>
    <mergeCell ref="Q2:T2"/>
    <mergeCell ref="U2:X2"/>
    <mergeCell ref="Y2:AD2"/>
    <mergeCell ref="AF2:AI2"/>
    <mergeCell ref="BE2:BF2"/>
    <mergeCell ref="AJ2:AM2"/>
    <mergeCell ref="AN2:AS2"/>
    <mergeCell ref="B1:O1"/>
    <mergeCell ref="Q1:AD1"/>
    <mergeCell ref="AF1:AS1"/>
    <mergeCell ref="AU1:BA1"/>
    <mergeCell ref="BH2:BI2"/>
    <mergeCell ref="AV3:AX3"/>
    <mergeCell ref="AY3:BA3"/>
    <mergeCell ref="J24:O24"/>
    <mergeCell ref="Q24:T24"/>
    <mergeCell ref="U24:X24"/>
    <mergeCell ref="Y24:AD24"/>
    <mergeCell ref="AF24:AI24"/>
    <mergeCell ref="B23:O23"/>
    <mergeCell ref="Q23:AD23"/>
    <mergeCell ref="AF23:AS23"/>
    <mergeCell ref="AU23:AY23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6F8FB62B88D3E43973F425DFFCAAC45" ma:contentTypeVersion="14" ma:contentTypeDescription="Crie um novo documento." ma:contentTypeScope="" ma:versionID="66d18425ed2c8138bc50f396946461b7">
  <xsd:schema xmlns:xsd="http://www.w3.org/2001/XMLSchema" xmlns:xs="http://www.w3.org/2001/XMLSchema" xmlns:p="http://schemas.microsoft.com/office/2006/metadata/properties" xmlns:ns2="ebfbe8ae-8ad1-45a0-82ba-c83051db029d" xmlns:ns3="1d76c408-b989-4bcb-b40e-e2d8b8980b06" targetNamespace="http://schemas.microsoft.com/office/2006/metadata/properties" ma:root="true" ma:fieldsID="4c58fcf640d494b8512cebddc8c01fcf" ns2:_="" ns3:_="">
    <xsd:import namespace="ebfbe8ae-8ad1-45a0-82ba-c83051db029d"/>
    <xsd:import namespace="1d76c408-b989-4bcb-b40e-e2d8b8980b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fbe8ae-8ad1-45a0-82ba-c83051db02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4704bf-d570-491d-bba1-3052cc71c8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76c408-b989-4bcb-b40e-e2d8b8980b0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1d77a41f-46da-4690-b2d7-b8dca96dbbc2}" ma:internalName="TaxCatchAll" ma:showField="CatchAllData" ma:web="1d76c408-b989-4bcb-b40e-e2d8b8980b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bfbe8ae-8ad1-45a0-82ba-c83051db029d">
      <Terms xmlns="http://schemas.microsoft.com/office/infopath/2007/PartnerControls"/>
    </lcf76f155ced4ddcb4097134ff3c332f>
    <TaxCatchAll xmlns="1d76c408-b989-4bcb-b40e-e2d8b8980b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D9E6CE-4FB3-4728-BB04-F97EE062ED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fbe8ae-8ad1-45a0-82ba-c83051db029d"/>
    <ds:schemaRef ds:uri="1d76c408-b989-4bcb-b40e-e2d8b8980b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FF25A0-658D-4B59-A9F7-34654D8A9464}">
  <ds:schemaRefs>
    <ds:schemaRef ds:uri="http://schemas.microsoft.com/office/2006/metadata/properties"/>
    <ds:schemaRef ds:uri="http://schemas.microsoft.com/office/infopath/2007/PartnerControls"/>
    <ds:schemaRef ds:uri="ebfbe8ae-8ad1-45a0-82ba-c83051db029d"/>
    <ds:schemaRef ds:uri="1d76c408-b989-4bcb-b40e-e2d8b8980b06"/>
  </ds:schemaRefs>
</ds:datastoreItem>
</file>

<file path=customXml/itemProps3.xml><?xml version="1.0" encoding="utf-8"?>
<ds:datastoreItem xmlns:ds="http://schemas.openxmlformats.org/officeDocument/2006/customXml" ds:itemID="{6E90FA2D-4ECE-4079-86C0-A3D23CB523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Apuração Inicial</vt:lpstr>
      <vt:lpstr>Apuração Dezembro</vt:lpstr>
      <vt:lpstr>Apuração Trimestre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Neves</dc:creator>
  <cp:lastModifiedBy>Paulo Rodrigues</cp:lastModifiedBy>
  <dcterms:created xsi:type="dcterms:W3CDTF">2024-05-21T14:06:45Z</dcterms:created>
  <dcterms:modified xsi:type="dcterms:W3CDTF">2026-01-26T19:03:43Z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0x01010066F8FB62B88D3E43973F425DFFCAAC45</vt:lpwstr>
  </property>
</Properties>
</file>