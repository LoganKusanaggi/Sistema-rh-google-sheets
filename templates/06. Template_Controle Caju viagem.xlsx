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AFFEINE\1. CAJU\"/>
    </mc:Choice>
  </mc:AlternateContent>
  <xr:revisionPtr revIDLastSave="0" documentId="13_ncr:1_{8B7BA774-E2BA-432E-B4AB-85C174791C49}" xr6:coauthVersionLast="47" xr6:coauthVersionMax="47" xr10:uidLastSave="{00000000-0000-0000-0000-000000000000}"/>
  <bookViews>
    <workbookView xWindow="-108" yWindow="-108" windowWidth="23256" windowHeight="12576" xr2:uid="{7C4404BC-28AC-4FD0-8926-695AF452EAF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5" i="1" l="1"/>
  <c r="J127" i="1"/>
  <c r="K127" i="1"/>
  <c r="J128" i="1"/>
  <c r="K128" i="1"/>
  <c r="J129" i="1"/>
  <c r="M129" i="1" s="1"/>
  <c r="K129" i="1"/>
  <c r="J130" i="1"/>
  <c r="K130" i="1"/>
  <c r="J131" i="1"/>
  <c r="M131" i="1" s="1"/>
  <c r="K131" i="1"/>
  <c r="J132" i="1"/>
  <c r="K132" i="1"/>
  <c r="M132" i="1" s="1"/>
  <c r="J133" i="1"/>
  <c r="M133" i="1" s="1"/>
  <c r="K133" i="1"/>
  <c r="J134" i="1"/>
  <c r="K134" i="1"/>
  <c r="J135" i="1"/>
  <c r="K135" i="1"/>
  <c r="J136" i="1"/>
  <c r="K136" i="1"/>
  <c r="M136" i="1" s="1"/>
  <c r="J137" i="1"/>
  <c r="K137" i="1"/>
  <c r="M137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K125" i="1"/>
  <c r="J126" i="1"/>
  <c r="K126" i="1"/>
  <c r="K90" i="1"/>
  <c r="K89" i="1"/>
  <c r="K86" i="1"/>
  <c r="K87" i="1"/>
  <c r="K88" i="1"/>
  <c r="K91" i="1"/>
  <c r="K92" i="1"/>
  <c r="K93" i="1"/>
  <c r="K94" i="1"/>
  <c r="K95" i="1"/>
  <c r="K96" i="1"/>
  <c r="J88" i="1"/>
  <c r="J89" i="1"/>
  <c r="J90" i="1"/>
  <c r="J91" i="1"/>
  <c r="J92" i="1"/>
  <c r="J93" i="1"/>
  <c r="J94" i="1"/>
  <c r="J95" i="1"/>
  <c r="J96" i="1"/>
  <c r="K76" i="1"/>
  <c r="J76" i="1"/>
  <c r="J81" i="1"/>
  <c r="K81" i="1"/>
  <c r="J82" i="1"/>
  <c r="K82" i="1"/>
  <c r="J83" i="1"/>
  <c r="K83" i="1"/>
  <c r="J84" i="1"/>
  <c r="K84" i="1"/>
  <c r="J85" i="1"/>
  <c r="K85" i="1"/>
  <c r="J86" i="1"/>
  <c r="J87" i="1"/>
  <c r="M128" i="1" l="1"/>
  <c r="M134" i="1"/>
  <c r="M127" i="1"/>
  <c r="M130" i="1"/>
  <c r="M135" i="1"/>
  <c r="M109" i="1"/>
  <c r="M89" i="1"/>
  <c r="M90" i="1"/>
  <c r="M125" i="1"/>
  <c r="M96" i="1"/>
  <c r="M117" i="1"/>
  <c r="M115" i="1"/>
  <c r="M126" i="1"/>
  <c r="M107" i="1"/>
  <c r="M105" i="1"/>
  <c r="M97" i="1"/>
  <c r="M123" i="1"/>
  <c r="M121" i="1"/>
  <c r="M76" i="1"/>
  <c r="M124" i="1"/>
  <c r="M113" i="1"/>
  <c r="M118" i="1"/>
  <c r="M120" i="1"/>
  <c r="M116" i="1"/>
  <c r="M112" i="1"/>
  <c r="M110" i="1"/>
  <c r="M108" i="1"/>
  <c r="M101" i="1"/>
  <c r="M99" i="1"/>
  <c r="M104" i="1"/>
  <c r="M102" i="1"/>
  <c r="M98" i="1"/>
  <c r="M100" i="1"/>
  <c r="M122" i="1"/>
  <c r="M119" i="1"/>
  <c r="M114" i="1"/>
  <c r="M111" i="1"/>
  <c r="M106" i="1"/>
  <c r="M103" i="1"/>
  <c r="M95" i="1"/>
  <c r="M94" i="1"/>
  <c r="M93" i="1"/>
  <c r="M92" i="1"/>
  <c r="M91" i="1"/>
  <c r="M88" i="1"/>
  <c r="M85" i="1"/>
  <c r="M81" i="1"/>
  <c r="M83" i="1"/>
  <c r="M86" i="1"/>
  <c r="M84" i="1"/>
  <c r="M82" i="1"/>
  <c r="M87" i="1"/>
  <c r="K68" i="1"/>
  <c r="J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7" i="1"/>
  <c r="K77" i="1"/>
  <c r="J78" i="1"/>
  <c r="K78" i="1"/>
  <c r="J79" i="1"/>
  <c r="K79" i="1"/>
  <c r="J80" i="1"/>
  <c r="K80" i="1"/>
  <c r="J62" i="1"/>
  <c r="K62" i="1"/>
  <c r="J63" i="1"/>
  <c r="K63" i="1"/>
  <c r="J64" i="1"/>
  <c r="K64" i="1"/>
  <c r="J65" i="1"/>
  <c r="K65" i="1"/>
  <c r="J66" i="1"/>
  <c r="K66" i="1"/>
  <c r="J67" i="1"/>
  <c r="K67" i="1"/>
  <c r="J49" i="1"/>
  <c r="J50" i="1"/>
  <c r="J51" i="1"/>
  <c r="J52" i="1"/>
  <c r="K48" i="1"/>
  <c r="K49" i="1"/>
  <c r="K50" i="1"/>
  <c r="K51" i="1"/>
  <c r="J53" i="1"/>
  <c r="J54" i="1"/>
  <c r="J55" i="1"/>
  <c r="J56" i="1"/>
  <c r="J57" i="1"/>
  <c r="J58" i="1"/>
  <c r="J59" i="1"/>
  <c r="J60" i="1"/>
  <c r="J61" i="1"/>
  <c r="K54" i="1"/>
  <c r="K55" i="1"/>
  <c r="K56" i="1"/>
  <c r="K57" i="1"/>
  <c r="K58" i="1"/>
  <c r="K59" i="1"/>
  <c r="K60" i="1"/>
  <c r="K61" i="1"/>
  <c r="J48" i="1"/>
  <c r="J47" i="1"/>
  <c r="J46" i="1"/>
  <c r="J45" i="1"/>
  <c r="J44" i="1"/>
  <c r="J43" i="1"/>
  <c r="J42" i="1"/>
  <c r="J41" i="1"/>
  <c r="J40" i="1"/>
  <c r="K41" i="1"/>
  <c r="K42" i="1"/>
  <c r="K43" i="1"/>
  <c r="K44" i="1"/>
  <c r="M44" i="1" s="1"/>
  <c r="K45" i="1"/>
  <c r="K46" i="1"/>
  <c r="K47" i="1"/>
  <c r="K52" i="1"/>
  <c r="K53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K40" i="1"/>
  <c r="J9" i="1"/>
  <c r="K8" i="1"/>
  <c r="J8" i="1"/>
  <c r="J6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7" i="1"/>
  <c r="K7" i="1"/>
  <c r="K6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5" i="1"/>
  <c r="J5" i="1"/>
  <c r="J4" i="1"/>
  <c r="M4" i="1" s="1"/>
  <c r="J3" i="1"/>
  <c r="M3" i="1" s="1"/>
  <c r="M58" i="1" l="1"/>
  <c r="M70" i="1"/>
  <c r="M68" i="1"/>
  <c r="M79" i="1"/>
  <c r="M77" i="1"/>
  <c r="M71" i="1"/>
  <c r="M74" i="1"/>
  <c r="M47" i="1"/>
  <c r="M51" i="1"/>
  <c r="M80" i="1"/>
  <c r="M72" i="1"/>
  <c r="M75" i="1"/>
  <c r="M49" i="1"/>
  <c r="M57" i="1"/>
  <c r="M52" i="1"/>
  <c r="M66" i="1"/>
  <c r="M64" i="1"/>
  <c r="M62" i="1"/>
  <c r="M78" i="1"/>
  <c r="M50" i="1"/>
  <c r="M63" i="1"/>
  <c r="M73" i="1"/>
  <c r="M69" i="1"/>
  <c r="M67" i="1"/>
  <c r="M65" i="1"/>
  <c r="M53" i="1"/>
  <c r="M60" i="1"/>
  <c r="M56" i="1"/>
  <c r="M59" i="1"/>
  <c r="M61" i="1"/>
  <c r="M43" i="1"/>
  <c r="M39" i="1"/>
  <c r="M55" i="1"/>
  <c r="M54" i="1"/>
  <c r="M48" i="1"/>
  <c r="M28" i="1"/>
  <c r="M26" i="1"/>
  <c r="M35" i="1"/>
  <c r="M45" i="1"/>
  <c r="M46" i="1"/>
  <c r="M42" i="1"/>
  <c r="M41" i="1"/>
  <c r="M38" i="1"/>
  <c r="M27" i="1"/>
  <c r="M40" i="1"/>
  <c r="M37" i="1"/>
  <c r="M36" i="1"/>
  <c r="M33" i="1"/>
  <c r="M32" i="1"/>
  <c r="M34" i="1"/>
  <c r="M31" i="1"/>
  <c r="M30" i="1"/>
  <c r="M29" i="1"/>
  <c r="M9" i="1"/>
  <c r="M6" i="1"/>
  <c r="M5" i="1"/>
  <c r="M24" i="1"/>
  <c r="M11" i="1"/>
  <c r="M7" i="1"/>
  <c r="M14" i="1"/>
  <c r="M8" i="1"/>
  <c r="M10" i="1"/>
  <c r="M19" i="1"/>
  <c r="M18" i="1"/>
  <c r="M17" i="1"/>
  <c r="M25" i="1"/>
  <c r="M22" i="1"/>
  <c r="M21" i="1"/>
  <c r="M20" i="1"/>
  <c r="M23" i="1"/>
  <c r="M16" i="1"/>
  <c r="M15" i="1"/>
  <c r="M13" i="1"/>
  <c r="M12" i="1"/>
</calcChain>
</file>

<file path=xl/sharedStrings.xml><?xml version="1.0" encoding="utf-8"?>
<sst xmlns="http://schemas.openxmlformats.org/spreadsheetml/2006/main" count="648" uniqueCount="293">
  <si>
    <t xml:space="preserve">CÁLCULO DE VIAGEM </t>
  </si>
  <si>
    <t xml:space="preserve">Colaborador </t>
  </si>
  <si>
    <t xml:space="preserve">Valor a ser pago </t>
  </si>
  <si>
    <t xml:space="preserve">Bruno Penna </t>
  </si>
  <si>
    <t xml:space="preserve">Ida </t>
  </si>
  <si>
    <t xml:space="preserve">Retorno </t>
  </si>
  <si>
    <t xml:space="preserve">Local de viagem </t>
  </si>
  <si>
    <t xml:space="preserve">Vitória </t>
  </si>
  <si>
    <t xml:space="preserve">Status </t>
  </si>
  <si>
    <t>12/09 às 12:35</t>
  </si>
  <si>
    <t>10/09 às 14:50</t>
  </si>
  <si>
    <t>Leticia Yurie</t>
  </si>
  <si>
    <t>Campinas</t>
  </si>
  <si>
    <t>15/09 às 06:05</t>
  </si>
  <si>
    <t>19/09 às 18:55</t>
  </si>
  <si>
    <t xml:space="preserve">Gabriel Muller </t>
  </si>
  <si>
    <t>05/09 às 14:40</t>
  </si>
  <si>
    <t>06/09 às 22:20</t>
  </si>
  <si>
    <t xml:space="preserve">São Paulo </t>
  </si>
  <si>
    <t>Realizado</t>
  </si>
  <si>
    <t>15/09 às 8:00</t>
  </si>
  <si>
    <t>20/09 às 12:00</t>
  </si>
  <si>
    <t xml:space="preserve">Marcela Barbosa </t>
  </si>
  <si>
    <t>04/10 às 21:40</t>
  </si>
  <si>
    <t>06/10 às 23:35</t>
  </si>
  <si>
    <t xml:space="preserve">Laisa Costa </t>
  </si>
  <si>
    <t>09/09 às 00:10</t>
  </si>
  <si>
    <t>19/09 às 22:10</t>
  </si>
  <si>
    <t xml:space="preserve">Diária do Jantar  </t>
  </si>
  <si>
    <t xml:space="preserve">Diária do Almoço  </t>
  </si>
  <si>
    <t>Alimentação o DIA ÚTIL</t>
  </si>
  <si>
    <t>Alimentação FSD</t>
  </si>
  <si>
    <t>Diária DIA ÚTIL</t>
  </si>
  <si>
    <t>Diária FDS</t>
  </si>
  <si>
    <t>Recife - SSA</t>
  </si>
  <si>
    <t>Marcelo Martins</t>
  </si>
  <si>
    <t>25/09 às 14:40</t>
  </si>
  <si>
    <t>28/09 às 16:25</t>
  </si>
  <si>
    <t xml:space="preserve">Victor Colares </t>
  </si>
  <si>
    <t>Vitória</t>
  </si>
  <si>
    <t>11/09 às 5:10</t>
  </si>
  <si>
    <t>Tais Oliveira</t>
  </si>
  <si>
    <t>Júlia Lira</t>
  </si>
  <si>
    <t xml:space="preserve">SP - SSA </t>
  </si>
  <si>
    <t>24 105
25 105
26 140
27 140
28 70</t>
  </si>
  <si>
    <t>Matheus Moura</t>
  </si>
  <si>
    <t>14/09 às 12:50</t>
  </si>
  <si>
    <t xml:space="preserve">18/09 às 19:40 </t>
  </si>
  <si>
    <t>13/10 às 14:50</t>
  </si>
  <si>
    <t xml:space="preserve">02/11 às 05:30 </t>
  </si>
  <si>
    <t>Priscila Silveira</t>
  </si>
  <si>
    <t>15/10 às 6:15</t>
  </si>
  <si>
    <t xml:space="preserve">16:10 às 16h </t>
  </si>
  <si>
    <t>Tais Silveira</t>
  </si>
  <si>
    <t>15/10 às 14:50</t>
  </si>
  <si>
    <t>17/10 às 12:35</t>
  </si>
  <si>
    <t>Rio de Janeiro</t>
  </si>
  <si>
    <t xml:space="preserve">Guilherme Almeida </t>
  </si>
  <si>
    <t>23/09 às 18:35</t>
  </si>
  <si>
    <t>25/09 às 15:55</t>
  </si>
  <si>
    <t xml:space="preserve">21/09 às 10:55 </t>
  </si>
  <si>
    <t>25/09 às 16:10</t>
  </si>
  <si>
    <t>Rafael Macena</t>
  </si>
  <si>
    <t>Lucas Amado</t>
  </si>
  <si>
    <t>Antônio Martins</t>
  </si>
  <si>
    <t>Brasília - SP</t>
  </si>
  <si>
    <t>25/09 às 14h</t>
  </si>
  <si>
    <t>28/09 ás 16:10</t>
  </si>
  <si>
    <t xml:space="preserve">Danilo Lima </t>
  </si>
  <si>
    <t>Karoline Silva</t>
  </si>
  <si>
    <t xml:space="preserve">Yasmin Brito </t>
  </si>
  <si>
    <t>Palhoça SC</t>
  </si>
  <si>
    <t>30/09 às 06:05</t>
  </si>
  <si>
    <t>30/09 às 14:50</t>
  </si>
  <si>
    <t>04/10 às 8:10</t>
  </si>
  <si>
    <t>Belo Horizonte</t>
  </si>
  <si>
    <t>08/10 às 21:35</t>
  </si>
  <si>
    <t>11/10 às 17:25</t>
  </si>
  <si>
    <t>02/10 às 09:10</t>
  </si>
  <si>
    <t>05/10 às 19:50</t>
  </si>
  <si>
    <t>Beatriz Rosentina</t>
  </si>
  <si>
    <t>28/09 às 11:10</t>
  </si>
  <si>
    <t>29/09 às 20:25</t>
  </si>
  <si>
    <t>Bruna Pero</t>
  </si>
  <si>
    <t>06/10 às 07:05</t>
  </si>
  <si>
    <t>17/10 às 17:25</t>
  </si>
  <si>
    <t xml:space="preserve">Maria Júlia Teixeira </t>
  </si>
  <si>
    <t>03/10 às 19:40</t>
  </si>
  <si>
    <t xml:space="preserve">Campinas - SSA </t>
  </si>
  <si>
    <t>05/10 às 12:30</t>
  </si>
  <si>
    <t>07/10 às 22h</t>
  </si>
  <si>
    <t>Carolina Pondé</t>
  </si>
  <si>
    <t xml:space="preserve">Karoline Moreira </t>
  </si>
  <si>
    <t>Matheus Magalhaes</t>
  </si>
  <si>
    <t xml:space="preserve">Yasmin Brito Sena </t>
  </si>
  <si>
    <t xml:space="preserve">06/10 às 05:20 </t>
  </si>
  <si>
    <t xml:space="preserve">08/10 às 16:10 </t>
  </si>
  <si>
    <t>20/10 às 5:30</t>
  </si>
  <si>
    <t xml:space="preserve">Lucas Bittencourt Freitas </t>
  </si>
  <si>
    <t>31/10 às 21:25</t>
  </si>
  <si>
    <t>20/10 às 09:05</t>
  </si>
  <si>
    <t>24/10 às 14:40</t>
  </si>
  <si>
    <t xml:space="preserve">Londrina </t>
  </si>
  <si>
    <t>08/10 às 16h</t>
  </si>
  <si>
    <t>Goiania</t>
  </si>
  <si>
    <t>11/10 às 15:15</t>
  </si>
  <si>
    <t>Andressa Esposito</t>
  </si>
  <si>
    <t>13/10 às 09:40</t>
  </si>
  <si>
    <t>17/10 às 18h</t>
  </si>
  <si>
    <t xml:space="preserve">Gabriela Pinheiro </t>
  </si>
  <si>
    <t>Danilo Lima</t>
  </si>
  <si>
    <t>Karoline Moreira</t>
  </si>
  <si>
    <t>Natallie Amparo</t>
  </si>
  <si>
    <t>21/10 às 10:25</t>
  </si>
  <si>
    <t>21/10 às 20:25</t>
  </si>
  <si>
    <t>Mateus Dias</t>
  </si>
  <si>
    <t>Data da recarga</t>
  </si>
  <si>
    <t>12/11 às 5:40</t>
  </si>
  <si>
    <t>RJ /BSB</t>
  </si>
  <si>
    <t>15/11 às 8:30</t>
  </si>
  <si>
    <t>Belo Horizonte / SP</t>
  </si>
  <si>
    <t>24/11 às 5:15</t>
  </si>
  <si>
    <t>27/11 às 18:55</t>
  </si>
  <si>
    <t>22/10 às 16:40</t>
  </si>
  <si>
    <t>13/10 às 17:50</t>
  </si>
  <si>
    <t xml:space="preserve">24/10 ás 12:35 </t>
  </si>
  <si>
    <t>04/10 às 15:55</t>
  </si>
  <si>
    <t>27/10 às 18:10</t>
  </si>
  <si>
    <t>12/09 às 22:10</t>
  </si>
  <si>
    <t xml:space="preserve">Café da manhã </t>
  </si>
  <si>
    <t>Larissa Cadamuro</t>
  </si>
  <si>
    <t>22/10 às 06:00</t>
  </si>
  <si>
    <t>24/11 às 05:15</t>
  </si>
  <si>
    <t>27/10 às 21:30</t>
  </si>
  <si>
    <t>20/10 às 20:55</t>
  </si>
  <si>
    <t>17/10 às 17h</t>
  </si>
  <si>
    <t>SSA</t>
  </si>
  <si>
    <t xml:space="preserve">Sávio Gabriel </t>
  </si>
  <si>
    <t xml:space="preserve">25/10 às </t>
  </si>
  <si>
    <t>Mariana Meirelles</t>
  </si>
  <si>
    <t xml:space="preserve">Taís Oliveira </t>
  </si>
  <si>
    <t xml:space="preserve">Porto Alegre - </t>
  </si>
  <si>
    <t>Marina Monteiro</t>
  </si>
  <si>
    <t>07/10 às 6:00</t>
  </si>
  <si>
    <t>07/10 às 23:15</t>
  </si>
  <si>
    <t xml:space="preserve">17/10 às </t>
  </si>
  <si>
    <t>Gabriel Marcon</t>
  </si>
  <si>
    <t>Florianópolis</t>
  </si>
  <si>
    <t>13/10 às 8h</t>
  </si>
  <si>
    <t>AJUSTE SP</t>
  </si>
  <si>
    <t>09/12 às 09:20</t>
  </si>
  <si>
    <t>13/12 às 09:55</t>
  </si>
  <si>
    <t>Asriel Bruno</t>
  </si>
  <si>
    <t xml:space="preserve">Brasília </t>
  </si>
  <si>
    <t>15/11 às 15:05</t>
  </si>
  <si>
    <t>10/11 às 17:40</t>
  </si>
  <si>
    <t>17/11 às 14:10</t>
  </si>
  <si>
    <t>Curitiba / Londrina</t>
  </si>
  <si>
    <t xml:space="preserve">Gabriel Muller Marcon </t>
  </si>
  <si>
    <t>21/11 às 14:40</t>
  </si>
  <si>
    <t>Vitor de Mello</t>
  </si>
  <si>
    <t xml:space="preserve">28/10 às </t>
  </si>
  <si>
    <t xml:space="preserve">01/11 às </t>
  </si>
  <si>
    <t xml:space="preserve">09/11 às </t>
  </si>
  <si>
    <t>Florianópolis/ Itajaí</t>
  </si>
  <si>
    <t xml:space="preserve">14/11 às </t>
  </si>
  <si>
    <t xml:space="preserve">O financeiro pediu para lançar novamente no pix </t>
  </si>
  <si>
    <t>Ian Suzarte e Maria Eduarda</t>
  </si>
  <si>
    <t>Sauipe Open</t>
  </si>
  <si>
    <t>Yasmin Brito</t>
  </si>
  <si>
    <t>Juliana Caldeira</t>
  </si>
  <si>
    <t>08/11 às 11:30</t>
  </si>
  <si>
    <t>04/11 às 17:30</t>
  </si>
  <si>
    <t>Londrina (gerado pix)</t>
  </si>
  <si>
    <t>24/10 às 18:40</t>
  </si>
  <si>
    <t>29/10 às 01:46</t>
  </si>
  <si>
    <t>30/10 às 19:30</t>
  </si>
  <si>
    <t xml:space="preserve">Tamires Moreira </t>
  </si>
  <si>
    <t xml:space="preserve">28/10 ás </t>
  </si>
  <si>
    <t xml:space="preserve">29/10 às </t>
  </si>
  <si>
    <t>Letícia Kuae</t>
  </si>
  <si>
    <t>A data foi alterada para 10/11 a 11/11</t>
  </si>
  <si>
    <t xml:space="preserve">Júlia Lira </t>
  </si>
  <si>
    <t>11/11 às 16:10</t>
  </si>
  <si>
    <t>24/11 às 08:15</t>
  </si>
  <si>
    <t>26/11 às 19:40</t>
  </si>
  <si>
    <t>Guilherme Almeida</t>
  </si>
  <si>
    <t>11/11 às 15:10</t>
  </si>
  <si>
    <t>14/11 às 13:25</t>
  </si>
  <si>
    <t>24/11 às 08:35</t>
  </si>
  <si>
    <t>26/11 às 20:10</t>
  </si>
  <si>
    <t>26/11 às 19:50</t>
  </si>
  <si>
    <t>14/11 às 11:45</t>
  </si>
  <si>
    <t xml:space="preserve">Feito nova recarga com café da manhã </t>
  </si>
  <si>
    <t>R$83,99 como alimentação</t>
  </si>
  <si>
    <t>Salvador</t>
  </si>
  <si>
    <t>10/11 às 06:15</t>
  </si>
  <si>
    <t>11/11 às 17:05</t>
  </si>
  <si>
    <t>Ana Carolina Nunes</t>
  </si>
  <si>
    <t>08/12 às 15:15</t>
  </si>
  <si>
    <t>13/12 às 12:45</t>
  </si>
  <si>
    <t>08/12 às 12:44</t>
  </si>
  <si>
    <t xml:space="preserve"> R$ -   </t>
  </si>
  <si>
    <t>18/12 às 11:35</t>
  </si>
  <si>
    <t>13/12 às 9h</t>
  </si>
  <si>
    <t>Matheus Gabriel</t>
  </si>
  <si>
    <t>Piracicaba</t>
  </si>
  <si>
    <t>12/11 às</t>
  </si>
  <si>
    <t>13/11 às</t>
  </si>
  <si>
    <t xml:space="preserve">Vitoria  </t>
  </si>
  <si>
    <t>27/11 às</t>
  </si>
  <si>
    <t xml:space="preserve">28/11 às </t>
  </si>
  <si>
    <t>13/12 às 13:55</t>
  </si>
  <si>
    <t>05/12 às 12:10</t>
  </si>
  <si>
    <t>Bianca Andrade</t>
  </si>
  <si>
    <t>Yla Andrade</t>
  </si>
  <si>
    <t>13/12 às 4:50</t>
  </si>
  <si>
    <t>18/12 às 00:30</t>
  </si>
  <si>
    <t xml:space="preserve">13/12 às </t>
  </si>
  <si>
    <t>Lenise Ribeiro</t>
  </si>
  <si>
    <t>Taís Oliveira</t>
  </si>
  <si>
    <t>13/12 às 07:25</t>
  </si>
  <si>
    <t>17/12 às 23:05</t>
  </si>
  <si>
    <t>Gabriel Muller</t>
  </si>
  <si>
    <t>Guilherme Lima</t>
  </si>
  <si>
    <t>07/12 às 04:30</t>
  </si>
  <si>
    <t>13/12 às 16:50</t>
  </si>
  <si>
    <t>07/12 às 08:25</t>
  </si>
  <si>
    <t xml:space="preserve">13/12 às 13h </t>
  </si>
  <si>
    <t xml:space="preserve">Matheus Gabriel </t>
  </si>
  <si>
    <t>Lucas Giamellaro</t>
  </si>
  <si>
    <t>07/12 às 21:50</t>
  </si>
  <si>
    <t>07/12 às 20:05</t>
  </si>
  <si>
    <t>03/12 às 08:55</t>
  </si>
  <si>
    <t>04/12 às 19:35</t>
  </si>
  <si>
    <t>Tamires Cintra</t>
  </si>
  <si>
    <t>08/12 às 10:10</t>
  </si>
  <si>
    <t>13/12 às 11:40</t>
  </si>
  <si>
    <t>Felipe Caldas</t>
  </si>
  <si>
    <t>Saulo Souza</t>
  </si>
  <si>
    <t>Balneário</t>
  </si>
  <si>
    <t>07/12 às 11:45</t>
  </si>
  <si>
    <t>10/12 às 23:05</t>
  </si>
  <si>
    <t>04/12 às 13:45</t>
  </si>
  <si>
    <t xml:space="preserve">29/11 às </t>
  </si>
  <si>
    <t>19/12 às 14:55</t>
  </si>
  <si>
    <t xml:space="preserve">Priscila Sousa </t>
  </si>
  <si>
    <t>02/12 às 08:25</t>
  </si>
  <si>
    <t>04/12 às 17:05</t>
  </si>
  <si>
    <t xml:space="preserve">Ivan Moreira </t>
  </si>
  <si>
    <t>Fernando Paulon</t>
  </si>
  <si>
    <t>08/12 às 11:40</t>
  </si>
  <si>
    <t>13/12 às 15:05</t>
  </si>
  <si>
    <t>08/12 às 14h</t>
  </si>
  <si>
    <t>Gabriela Pinheiro</t>
  </si>
  <si>
    <t>Ana Laura Esteves</t>
  </si>
  <si>
    <t>12/12 às 06:15</t>
  </si>
  <si>
    <t>13/12 às 10:05</t>
  </si>
  <si>
    <t xml:space="preserve">22/12 às </t>
  </si>
  <si>
    <t>18/12 às 17:15</t>
  </si>
  <si>
    <t>Letícia Scanavaca</t>
  </si>
  <si>
    <t>10/12 às 11:25</t>
  </si>
  <si>
    <t xml:space="preserve">17/12 às </t>
  </si>
  <si>
    <t xml:space="preserve">18/12 às </t>
  </si>
  <si>
    <t>09/12 às 6:50</t>
  </si>
  <si>
    <t>Guylherme Fernandes</t>
  </si>
  <si>
    <t>13/12 às 16:55</t>
  </si>
  <si>
    <t>09/12 às 12:10</t>
  </si>
  <si>
    <t>Antonio Martins</t>
  </si>
  <si>
    <t>SALDO R$245</t>
  </si>
  <si>
    <t>17/11 às 21:05</t>
  </si>
  <si>
    <t>SC</t>
  </si>
  <si>
    <t xml:space="preserve">11/12 às </t>
  </si>
  <si>
    <t xml:space="preserve">12/12 às </t>
  </si>
  <si>
    <t xml:space="preserve">14/12 às </t>
  </si>
  <si>
    <t xml:space="preserve">Renato Barbosa </t>
  </si>
  <si>
    <t>10/12 às 21h</t>
  </si>
  <si>
    <t>13/12 às 08:55</t>
  </si>
  <si>
    <t>Lucas Ramos</t>
  </si>
  <si>
    <t>SP</t>
  </si>
  <si>
    <t xml:space="preserve">29/09 às </t>
  </si>
  <si>
    <t>Pedro Antunes</t>
  </si>
  <si>
    <t>22/12 às 19h</t>
  </si>
  <si>
    <t>17/12 às 19h</t>
  </si>
  <si>
    <t>Leticia Cannavan Scanavaca</t>
  </si>
  <si>
    <t xml:space="preserve">Ana Laura Esteves </t>
  </si>
  <si>
    <t xml:space="preserve">16/12 às </t>
  </si>
  <si>
    <t xml:space="preserve">19/12 às </t>
  </si>
  <si>
    <t xml:space="preserve">21/12 às  </t>
  </si>
  <si>
    <t>12/01 às 16h</t>
  </si>
  <si>
    <t>16/01 às 14:55</t>
  </si>
  <si>
    <t>06/01 às 17h</t>
  </si>
  <si>
    <t xml:space="preserve">17/01 às 17h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</si>
</sst>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44" fontId="0" fillId="0" borderId="0" xfId="1" applyFont="1"/>
    <xf numFmtId="14" fontId="0" fillId="0" borderId="0" xfId="0" applyNumberFormat="1"/>
    <xf numFmtId="20" fontId="0" fillId="0" borderId="0" xfId="0" applyNumberFormat="1"/>
    <xf numFmtId="0" fontId="0" fillId="3" borderId="0" xfId="0" applyFill="1"/>
    <xf numFmtId="16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22" fontId="0" fillId="0" borderId="0" xfId="0" applyNumberFormat="1" applyAlignment="1">
      <alignment horizontal="left"/>
    </xf>
    <xf numFmtId="16" fontId="0" fillId="0" borderId="0" xfId="0" applyNumberFormat="1"/>
    <xf numFmtId="44" fontId="0" fillId="4" borderId="0" xfId="1" applyFont="1" applyFill="1"/>
    <xf numFmtId="44" fontId="0" fillId="5" borderId="0" xfId="1" applyFont="1" applyFill="1"/>
    <xf numFmtId="0" fontId="0" fillId="6" borderId="0" xfId="0" applyFill="1"/>
    <xf numFmtId="44" fontId="0" fillId="6" borderId="0" xfId="1" applyFont="1" applyFill="1"/>
    <xf numFmtId="44" fontId="0" fillId="0" borderId="0" xfId="1" applyFont="1" applyFill="1"/>
    <xf numFmtId="0" fontId="0" fillId="4" borderId="0" xfId="0" applyFill="1"/>
    <xf numFmtId="0" fontId="0" fillId="7" borderId="0" xfId="0" applyFill="1"/>
    <xf numFmtId="44" fontId="0" fillId="7" borderId="0" xfId="1" applyFont="1" applyFill="1"/>
    <xf numFmtId="14" fontId="0" fillId="7" borderId="0" xfId="0" applyNumberFormat="1" applyFill="1"/>
    <xf numFmtId="20" fontId="0" fillId="7" borderId="0" xfId="0" applyNumberFormat="1" applyFill="1"/>
    <xf numFmtId="44" fontId="0" fillId="3" borderId="0" xfId="1" applyFont="1" applyFill="1"/>
    <xf numFmtId="0" fontId="0" fillId="8" borderId="0" xfId="0" applyFill="1"/>
    <xf numFmtId="0" fontId="0" fillId="9" borderId="0" xfId="0" applyFill="1"/>
    <xf numFmtId="20" fontId="0" fillId="4" borderId="0" xfId="0" applyNumberFormat="1" applyFill="1"/>
    <xf numFmtId="14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22" fontId="0" fillId="0" borderId="0" xfId="0" applyNumberFormat="1"/>
    <xf numFmtId="14" fontId="0" fillId="10" borderId="0" xfId="0" applyNumberFormat="1" applyFill="1"/>
    <xf numFmtId="0" fontId="0" fillId="10" borderId="0" xfId="0" applyFill="1"/>
    <xf numFmtId="44" fontId="0" fillId="10" borderId="0" xfId="1" applyFont="1" applyFill="1"/>
    <xf numFmtId="0" fontId="3" fillId="2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8F24-EBAA-4BFF-8D78-03EC21F5C19D}">
  <dimension ref="A1:O239"/>
  <sheetViews>
    <sheetView tabSelected="1" zoomScale="90" zoomScaleNormal="90" workbookViewId="0">
      <pane ySplit="2" topLeftCell="A3" activePane="bottomLeft" state="frozen"/>
      <selection pane="bottomLeft" activeCell="F130" sqref="F130"/>
    </sheetView>
  </sheetViews>
  <sheetFormatPr defaultRowHeight="14.4" x14ac:dyDescent="0.3"/>
  <cols>
    <col min="1" max="1" width="25.5546875" bestFit="1" customWidth="1"/>
    <col min="2" max="2" width="14.33203125" bestFit="1" customWidth="1"/>
    <col min="3" max="3" width="18.33203125" bestFit="1" customWidth="1"/>
    <col min="4" max="4" width="15" customWidth="1"/>
    <col min="5" max="5" width="15.6640625" bestFit="1" customWidth="1"/>
    <col min="6" max="6" width="13.5546875" bestFit="1" customWidth="1"/>
    <col min="7" max="7" width="9.33203125" bestFit="1" customWidth="1"/>
    <col min="8" max="8" width="16.44140625" customWidth="1"/>
    <col min="9" max="9" width="15" bestFit="1" customWidth="1"/>
    <col min="10" max="10" width="21" bestFit="1" customWidth="1"/>
    <col min="11" max="11" width="15.33203125" bestFit="1" customWidth="1"/>
    <col min="12" max="12" width="14.33203125" bestFit="1" customWidth="1"/>
    <col min="13" max="13" width="15" bestFit="1" customWidth="1"/>
    <col min="15" max="15" width="41.6640625" bestFit="1" customWidth="1"/>
  </cols>
  <sheetData>
    <row r="1" spans="1:14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x14ac:dyDescent="0.3">
      <c r="A2" s="1" t="s">
        <v>1</v>
      </c>
      <c r="B2" s="1" t="s">
        <v>116</v>
      </c>
      <c r="C2" s="1" t="s">
        <v>6</v>
      </c>
      <c r="D2" s="1" t="s">
        <v>4</v>
      </c>
      <c r="E2" s="1" t="s">
        <v>5</v>
      </c>
      <c r="F2" s="1" t="s">
        <v>32</v>
      </c>
      <c r="G2" s="1" t="s">
        <v>33</v>
      </c>
      <c r="H2" s="1" t="s">
        <v>29</v>
      </c>
      <c r="I2" s="1" t="s">
        <v>28</v>
      </c>
      <c r="J2" s="1" t="s">
        <v>30</v>
      </c>
      <c r="K2" s="1" t="s">
        <v>31</v>
      </c>
      <c r="L2" s="1" t="s">
        <v>129</v>
      </c>
      <c r="M2" s="1" t="s">
        <v>2</v>
      </c>
      <c r="N2" s="1" t="s">
        <v>8</v>
      </c>
    </row>
    <row r="3" spans="1:14" x14ac:dyDescent="0.3">
      <c r="A3" t="s">
        <v>3</v>
      </c>
      <c r="C3" t="s">
        <v>7</v>
      </c>
      <c r="D3" t="s">
        <v>10</v>
      </c>
      <c r="E3" t="s">
        <v>9</v>
      </c>
      <c r="F3">
        <v>1</v>
      </c>
      <c r="H3" s="2">
        <v>52.5</v>
      </c>
      <c r="I3" s="2">
        <v>52.5</v>
      </c>
      <c r="J3" s="2">
        <f t="shared" ref="J3:J8" si="0">F3*105</f>
        <v>105</v>
      </c>
      <c r="K3" s="2"/>
      <c r="L3" s="2">
        <v>0</v>
      </c>
      <c r="M3" s="2">
        <f>SUM(H3:L3)</f>
        <v>210</v>
      </c>
      <c r="N3" s="5" t="s">
        <v>19</v>
      </c>
    </row>
    <row r="4" spans="1:14" x14ac:dyDescent="0.3">
      <c r="A4" t="s">
        <v>11</v>
      </c>
      <c r="C4" t="s">
        <v>12</v>
      </c>
      <c r="D4" s="3" t="s">
        <v>13</v>
      </c>
      <c r="E4" t="s">
        <v>14</v>
      </c>
      <c r="F4">
        <v>5</v>
      </c>
      <c r="H4" s="2">
        <v>0</v>
      </c>
      <c r="I4" s="2">
        <v>0</v>
      </c>
      <c r="J4" s="2">
        <f t="shared" si="0"/>
        <v>525</v>
      </c>
      <c r="K4" s="2"/>
      <c r="L4" s="2">
        <v>35</v>
      </c>
      <c r="M4" s="2">
        <f t="shared" ref="M4:M25" si="1">SUM(H4:L4)</f>
        <v>560</v>
      </c>
      <c r="N4" s="5" t="s">
        <v>19</v>
      </c>
    </row>
    <row r="5" spans="1:14" x14ac:dyDescent="0.3">
      <c r="A5" t="s">
        <v>15</v>
      </c>
      <c r="C5" t="s">
        <v>12</v>
      </c>
      <c r="D5" s="4" t="s">
        <v>20</v>
      </c>
      <c r="E5" t="s">
        <v>21</v>
      </c>
      <c r="F5">
        <v>5</v>
      </c>
      <c r="G5">
        <v>1</v>
      </c>
      <c r="H5" s="2">
        <v>0</v>
      </c>
      <c r="I5" s="2">
        <v>0</v>
      </c>
      <c r="J5" s="2">
        <f t="shared" si="0"/>
        <v>525</v>
      </c>
      <c r="K5" s="2">
        <f>G5*140</f>
        <v>140</v>
      </c>
      <c r="L5" s="2">
        <v>0</v>
      </c>
      <c r="M5" s="2">
        <f t="shared" si="1"/>
        <v>665</v>
      </c>
      <c r="N5" s="5" t="s">
        <v>19</v>
      </c>
    </row>
    <row r="6" spans="1:14" x14ac:dyDescent="0.3">
      <c r="A6" t="s">
        <v>3</v>
      </c>
      <c r="C6" t="s">
        <v>18</v>
      </c>
      <c r="D6" t="s">
        <v>16</v>
      </c>
      <c r="E6" t="s">
        <v>17</v>
      </c>
      <c r="G6">
        <v>1</v>
      </c>
      <c r="H6" s="2">
        <v>0</v>
      </c>
      <c r="I6" s="2">
        <v>52.5</v>
      </c>
      <c r="J6" s="2">
        <f t="shared" si="0"/>
        <v>0</v>
      </c>
      <c r="K6" s="2">
        <f t="shared" ref="K6:K25" si="2">G6*140</f>
        <v>140</v>
      </c>
      <c r="L6" s="2">
        <v>0</v>
      </c>
      <c r="M6" s="2">
        <f t="shared" si="1"/>
        <v>192.5</v>
      </c>
      <c r="N6" s="5" t="s">
        <v>19</v>
      </c>
    </row>
    <row r="7" spans="1:14" x14ac:dyDescent="0.3">
      <c r="A7" t="s">
        <v>22</v>
      </c>
      <c r="C7" t="s">
        <v>18</v>
      </c>
      <c r="D7" t="s">
        <v>23</v>
      </c>
      <c r="E7" t="s">
        <v>24</v>
      </c>
      <c r="F7">
        <v>1</v>
      </c>
      <c r="G7">
        <v>1</v>
      </c>
      <c r="H7" s="2">
        <v>0</v>
      </c>
      <c r="I7" s="2">
        <v>70</v>
      </c>
      <c r="J7" s="2">
        <f t="shared" si="0"/>
        <v>105</v>
      </c>
      <c r="K7" s="2">
        <f>G7*140</f>
        <v>140</v>
      </c>
      <c r="L7" s="2">
        <v>0</v>
      </c>
      <c r="M7" s="2">
        <f>SUM(H7:L7)</f>
        <v>315</v>
      </c>
      <c r="N7" s="5" t="s">
        <v>19</v>
      </c>
    </row>
    <row r="8" spans="1:14" x14ac:dyDescent="0.3">
      <c r="A8" t="s">
        <v>25</v>
      </c>
      <c r="C8" t="s">
        <v>34</v>
      </c>
      <c r="D8" t="s">
        <v>26</v>
      </c>
      <c r="E8" t="s">
        <v>27</v>
      </c>
      <c r="F8">
        <v>9</v>
      </c>
      <c r="G8">
        <v>2</v>
      </c>
      <c r="H8" s="2">
        <v>0</v>
      </c>
      <c r="I8" s="2">
        <v>0</v>
      </c>
      <c r="J8" s="2">
        <f t="shared" si="0"/>
        <v>945</v>
      </c>
      <c r="K8" s="2">
        <f>G8*140</f>
        <v>280</v>
      </c>
      <c r="L8" s="2">
        <v>0</v>
      </c>
      <c r="M8" s="2">
        <f>SUM(H8:L8)</f>
        <v>1225</v>
      </c>
      <c r="N8" s="5" t="s">
        <v>19</v>
      </c>
    </row>
    <row r="9" spans="1:14" x14ac:dyDescent="0.3">
      <c r="A9" t="s">
        <v>35</v>
      </c>
      <c r="C9" t="s">
        <v>18</v>
      </c>
      <c r="D9" t="s">
        <v>36</v>
      </c>
      <c r="E9" t="s">
        <v>37</v>
      </c>
      <c r="F9">
        <v>1</v>
      </c>
      <c r="G9">
        <v>1</v>
      </c>
      <c r="H9" s="2">
        <v>70</v>
      </c>
      <c r="I9" s="2">
        <v>52.5</v>
      </c>
      <c r="J9" s="2">
        <f>F9*105</f>
        <v>105</v>
      </c>
      <c r="K9" s="2">
        <f t="shared" si="2"/>
        <v>140</v>
      </c>
      <c r="L9" s="2">
        <v>70</v>
      </c>
      <c r="M9" s="2">
        <f t="shared" si="1"/>
        <v>437.5</v>
      </c>
      <c r="N9" s="5" t="s">
        <v>19</v>
      </c>
    </row>
    <row r="10" spans="1:14" x14ac:dyDescent="0.3">
      <c r="A10" t="s">
        <v>38</v>
      </c>
      <c r="C10" t="s">
        <v>39</v>
      </c>
      <c r="D10" t="s">
        <v>10</v>
      </c>
      <c r="E10" t="s">
        <v>128</v>
      </c>
      <c r="F10">
        <v>2</v>
      </c>
      <c r="H10" s="2">
        <v>0</v>
      </c>
      <c r="I10" s="2">
        <v>52.5</v>
      </c>
      <c r="J10" s="2">
        <f t="shared" ref="J10:J25" si="3">F10*105</f>
        <v>210</v>
      </c>
      <c r="K10" s="2">
        <f t="shared" si="2"/>
        <v>0</v>
      </c>
      <c r="L10" s="2">
        <v>0</v>
      </c>
      <c r="M10" s="2">
        <f t="shared" si="1"/>
        <v>262.5</v>
      </c>
      <c r="N10" s="5" t="s">
        <v>19</v>
      </c>
    </row>
    <row r="11" spans="1:14" x14ac:dyDescent="0.3">
      <c r="A11" t="s">
        <v>41</v>
      </c>
      <c r="C11" t="s">
        <v>39</v>
      </c>
      <c r="D11" t="s">
        <v>40</v>
      </c>
      <c r="E11" t="s">
        <v>128</v>
      </c>
      <c r="F11">
        <v>2</v>
      </c>
      <c r="H11" s="2">
        <v>0</v>
      </c>
      <c r="I11" s="2">
        <v>0</v>
      </c>
      <c r="J11" s="2">
        <f t="shared" si="3"/>
        <v>210</v>
      </c>
      <c r="K11" s="2">
        <f t="shared" si="2"/>
        <v>0</v>
      </c>
      <c r="L11" s="2">
        <v>35</v>
      </c>
      <c r="M11" s="2">
        <f t="shared" si="1"/>
        <v>245</v>
      </c>
      <c r="N11" s="5" t="s">
        <v>19</v>
      </c>
    </row>
    <row r="12" spans="1:14" x14ac:dyDescent="0.3">
      <c r="A12" t="s">
        <v>42</v>
      </c>
      <c r="C12" t="s">
        <v>43</v>
      </c>
      <c r="D12" s="6">
        <v>45915</v>
      </c>
      <c r="E12" s="6">
        <v>45922</v>
      </c>
      <c r="F12">
        <v>1</v>
      </c>
      <c r="G12">
        <v>4</v>
      </c>
      <c r="H12" s="2">
        <v>0</v>
      </c>
      <c r="I12" s="2">
        <v>0</v>
      </c>
      <c r="J12" s="2">
        <f t="shared" si="3"/>
        <v>105</v>
      </c>
      <c r="K12" s="2">
        <f t="shared" si="2"/>
        <v>560</v>
      </c>
      <c r="L12" s="2">
        <v>0</v>
      </c>
      <c r="M12" s="2">
        <f t="shared" si="1"/>
        <v>665</v>
      </c>
      <c r="N12" s="5" t="s">
        <v>19</v>
      </c>
    </row>
    <row r="13" spans="1:14" ht="19.2" customHeight="1" x14ac:dyDescent="0.3">
      <c r="A13" t="s">
        <v>15</v>
      </c>
      <c r="C13" s="7" t="s">
        <v>141</v>
      </c>
      <c r="D13" s="7"/>
      <c r="E13" s="7"/>
      <c r="F13">
        <v>2</v>
      </c>
      <c r="G13">
        <v>2</v>
      </c>
      <c r="H13" s="2">
        <v>70</v>
      </c>
      <c r="I13" s="2"/>
      <c r="J13" s="2">
        <f t="shared" si="3"/>
        <v>210</v>
      </c>
      <c r="K13" s="2">
        <f t="shared" si="2"/>
        <v>280</v>
      </c>
      <c r="L13" s="2">
        <v>0</v>
      </c>
      <c r="M13" s="2">
        <f t="shared" si="1"/>
        <v>560</v>
      </c>
      <c r="N13" s="7" t="s">
        <v>44</v>
      </c>
    </row>
    <row r="14" spans="1:14" x14ac:dyDescent="0.3">
      <c r="A14" t="s">
        <v>45</v>
      </c>
      <c r="C14" t="s">
        <v>18</v>
      </c>
      <c r="D14" t="s">
        <v>46</v>
      </c>
      <c r="E14" t="s">
        <v>47</v>
      </c>
      <c r="F14">
        <v>4</v>
      </c>
      <c r="G14">
        <v>1</v>
      </c>
      <c r="H14" s="2">
        <v>0</v>
      </c>
      <c r="I14" s="2">
        <v>0</v>
      </c>
      <c r="J14" s="2">
        <f t="shared" si="3"/>
        <v>420</v>
      </c>
      <c r="K14" s="2">
        <f t="shared" si="2"/>
        <v>140</v>
      </c>
      <c r="L14" s="2">
        <v>0</v>
      </c>
      <c r="M14" s="2">
        <f t="shared" si="1"/>
        <v>560</v>
      </c>
      <c r="N14" s="5" t="s">
        <v>19</v>
      </c>
    </row>
    <row r="15" spans="1:14" x14ac:dyDescent="0.3">
      <c r="A15" t="s">
        <v>38</v>
      </c>
      <c r="C15" t="s">
        <v>7</v>
      </c>
      <c r="D15" t="s">
        <v>48</v>
      </c>
      <c r="E15" t="s">
        <v>127</v>
      </c>
      <c r="G15">
        <v>14</v>
      </c>
      <c r="H15" s="2">
        <v>70</v>
      </c>
      <c r="I15" s="2">
        <v>0</v>
      </c>
      <c r="J15" s="2">
        <f t="shared" si="3"/>
        <v>0</v>
      </c>
      <c r="K15" s="2">
        <f t="shared" si="2"/>
        <v>1960</v>
      </c>
      <c r="L15" s="2">
        <v>0</v>
      </c>
      <c r="M15" s="2">
        <f t="shared" si="1"/>
        <v>2030</v>
      </c>
      <c r="N15" s="5" t="s">
        <v>19</v>
      </c>
    </row>
    <row r="16" spans="1:14" x14ac:dyDescent="0.3">
      <c r="A16" t="s">
        <v>38</v>
      </c>
      <c r="C16" t="s">
        <v>7</v>
      </c>
      <c r="D16" t="s">
        <v>49</v>
      </c>
      <c r="E16" s="8" t="s">
        <v>270</v>
      </c>
      <c r="G16">
        <v>16</v>
      </c>
      <c r="H16" s="2">
        <v>0</v>
      </c>
      <c r="I16" s="2">
        <v>0</v>
      </c>
      <c r="J16" s="2">
        <f t="shared" si="3"/>
        <v>0</v>
      </c>
      <c r="K16" s="2">
        <f t="shared" si="2"/>
        <v>2240</v>
      </c>
      <c r="L16" s="2">
        <v>0</v>
      </c>
      <c r="M16" s="2">
        <f t="shared" si="1"/>
        <v>2240</v>
      </c>
      <c r="N16" s="5" t="s">
        <v>19</v>
      </c>
    </row>
    <row r="17" spans="1:15" x14ac:dyDescent="0.3">
      <c r="A17" t="s">
        <v>50</v>
      </c>
      <c r="C17" t="s">
        <v>88</v>
      </c>
      <c r="D17" t="s">
        <v>51</v>
      </c>
      <c r="E17" t="s">
        <v>52</v>
      </c>
      <c r="F17">
        <v>1</v>
      </c>
      <c r="H17" s="14">
        <v>52.5</v>
      </c>
      <c r="I17" s="14">
        <v>0</v>
      </c>
      <c r="J17" s="14">
        <f t="shared" si="3"/>
        <v>105</v>
      </c>
      <c r="K17" s="14">
        <f t="shared" si="2"/>
        <v>0</v>
      </c>
      <c r="L17" s="14">
        <v>35</v>
      </c>
      <c r="M17" s="14">
        <f t="shared" si="1"/>
        <v>192.5</v>
      </c>
      <c r="N17" s="5" t="s">
        <v>19</v>
      </c>
      <c r="O17" t="s">
        <v>181</v>
      </c>
    </row>
    <row r="18" spans="1:15" s="12" customFormat="1" ht="13.95" customHeight="1" x14ac:dyDescent="0.3">
      <c r="A18" s="12" t="s">
        <v>53</v>
      </c>
      <c r="C18" s="12" t="s">
        <v>7</v>
      </c>
      <c r="D18" s="12" t="s">
        <v>54</v>
      </c>
      <c r="E18" s="12" t="s">
        <v>55</v>
      </c>
      <c r="F18" s="12">
        <v>2</v>
      </c>
      <c r="H18" s="13">
        <v>52.5</v>
      </c>
      <c r="I18" s="13">
        <v>0</v>
      </c>
      <c r="J18" s="13">
        <f t="shared" si="3"/>
        <v>210</v>
      </c>
      <c r="K18" s="13">
        <f t="shared" si="2"/>
        <v>0</v>
      </c>
      <c r="L18" s="13">
        <v>0</v>
      </c>
      <c r="M18" s="13">
        <f t="shared" si="1"/>
        <v>262.5</v>
      </c>
      <c r="N18" s="12" t="s">
        <v>19</v>
      </c>
    </row>
    <row r="19" spans="1:15" x14ac:dyDescent="0.3">
      <c r="A19" t="s">
        <v>57</v>
      </c>
      <c r="C19" t="s">
        <v>56</v>
      </c>
      <c r="D19" t="s">
        <v>58</v>
      </c>
      <c r="E19" s="9" t="s">
        <v>59</v>
      </c>
      <c r="F19">
        <v>1</v>
      </c>
      <c r="H19" s="2">
        <v>52.5</v>
      </c>
      <c r="I19" s="2">
        <v>52.5</v>
      </c>
      <c r="J19" s="2">
        <f t="shared" si="3"/>
        <v>105</v>
      </c>
      <c r="K19" s="2">
        <f t="shared" si="2"/>
        <v>0</v>
      </c>
      <c r="L19" s="2">
        <v>0</v>
      </c>
      <c r="M19" s="2">
        <f t="shared" si="1"/>
        <v>210</v>
      </c>
      <c r="N19" s="5" t="s">
        <v>19</v>
      </c>
    </row>
    <row r="20" spans="1:15" x14ac:dyDescent="0.3">
      <c r="A20" t="s">
        <v>63</v>
      </c>
      <c r="C20" t="s">
        <v>56</v>
      </c>
      <c r="D20" t="s">
        <v>60</v>
      </c>
      <c r="E20" t="s">
        <v>61</v>
      </c>
      <c r="F20">
        <v>3</v>
      </c>
      <c r="G20">
        <v>1</v>
      </c>
      <c r="H20" s="2">
        <v>52.5</v>
      </c>
      <c r="I20" s="2">
        <v>0</v>
      </c>
      <c r="J20" s="2">
        <f t="shared" si="3"/>
        <v>315</v>
      </c>
      <c r="K20" s="2">
        <f t="shared" si="2"/>
        <v>140</v>
      </c>
      <c r="L20" s="2">
        <v>0</v>
      </c>
      <c r="M20" s="2">
        <f t="shared" si="1"/>
        <v>507.5</v>
      </c>
      <c r="N20" s="5" t="s">
        <v>19</v>
      </c>
    </row>
    <row r="21" spans="1:15" x14ac:dyDescent="0.3">
      <c r="A21" t="s">
        <v>62</v>
      </c>
      <c r="C21" t="s">
        <v>56</v>
      </c>
      <c r="D21" t="s">
        <v>60</v>
      </c>
      <c r="E21" t="s">
        <v>61</v>
      </c>
      <c r="F21">
        <v>3</v>
      </c>
      <c r="G21">
        <v>1</v>
      </c>
      <c r="H21" s="2">
        <v>52.5</v>
      </c>
      <c r="I21" s="2">
        <v>0</v>
      </c>
      <c r="J21" s="2">
        <f t="shared" si="3"/>
        <v>315</v>
      </c>
      <c r="K21" s="2">
        <f t="shared" si="2"/>
        <v>140</v>
      </c>
      <c r="L21" s="2">
        <v>0</v>
      </c>
      <c r="M21" s="2">
        <f t="shared" si="1"/>
        <v>507.5</v>
      </c>
      <c r="N21" s="5" t="s">
        <v>19</v>
      </c>
    </row>
    <row r="22" spans="1:15" x14ac:dyDescent="0.3">
      <c r="A22" t="s">
        <v>64</v>
      </c>
      <c r="C22" t="s">
        <v>65</v>
      </c>
      <c r="D22" t="s">
        <v>66</v>
      </c>
      <c r="E22" t="s">
        <v>67</v>
      </c>
      <c r="F22">
        <v>1</v>
      </c>
      <c r="G22">
        <v>1</v>
      </c>
      <c r="H22" s="2">
        <v>70</v>
      </c>
      <c r="I22" s="2">
        <v>52.5</v>
      </c>
      <c r="J22" s="2">
        <f t="shared" si="3"/>
        <v>105</v>
      </c>
      <c r="K22" s="2">
        <f t="shared" si="2"/>
        <v>140</v>
      </c>
      <c r="L22" s="2">
        <v>0</v>
      </c>
      <c r="M22" s="2">
        <f t="shared" si="1"/>
        <v>367.5</v>
      </c>
      <c r="N22" s="5" t="s">
        <v>19</v>
      </c>
    </row>
    <row r="23" spans="1:15" x14ac:dyDescent="0.3">
      <c r="A23" t="s">
        <v>68</v>
      </c>
      <c r="C23" t="s">
        <v>71</v>
      </c>
      <c r="D23" t="s">
        <v>72</v>
      </c>
      <c r="E23" t="s">
        <v>126</v>
      </c>
      <c r="F23">
        <v>4</v>
      </c>
      <c r="H23" s="2">
        <v>70</v>
      </c>
      <c r="I23" s="2">
        <v>0</v>
      </c>
      <c r="J23" s="2">
        <f t="shared" si="3"/>
        <v>420</v>
      </c>
      <c r="K23" s="2">
        <f t="shared" si="2"/>
        <v>0</v>
      </c>
      <c r="L23" s="2">
        <v>35</v>
      </c>
      <c r="M23" s="2">
        <f t="shared" si="1"/>
        <v>525</v>
      </c>
      <c r="N23" s="5" t="s">
        <v>19</v>
      </c>
    </row>
    <row r="24" spans="1:15" x14ac:dyDescent="0.3">
      <c r="A24" t="s">
        <v>69</v>
      </c>
      <c r="C24" t="s">
        <v>71</v>
      </c>
      <c r="D24" t="s">
        <v>72</v>
      </c>
      <c r="E24" t="s">
        <v>126</v>
      </c>
      <c r="F24">
        <v>4</v>
      </c>
      <c r="H24" s="2">
        <v>70</v>
      </c>
      <c r="I24" s="2">
        <v>0</v>
      </c>
      <c r="J24" s="2">
        <f t="shared" si="3"/>
        <v>420</v>
      </c>
      <c r="K24" s="2">
        <f t="shared" si="2"/>
        <v>0</v>
      </c>
      <c r="L24" s="2">
        <v>35</v>
      </c>
      <c r="M24" s="2">
        <f>SUM(H24:L24)</f>
        <v>525</v>
      </c>
      <c r="N24" s="5" t="s">
        <v>19</v>
      </c>
    </row>
    <row r="25" spans="1:15" x14ac:dyDescent="0.3">
      <c r="A25" t="s">
        <v>70</v>
      </c>
      <c r="C25" t="s">
        <v>71</v>
      </c>
      <c r="D25" t="s">
        <v>72</v>
      </c>
      <c r="E25" t="s">
        <v>126</v>
      </c>
      <c r="F25">
        <v>4</v>
      </c>
      <c r="H25" s="2">
        <v>70</v>
      </c>
      <c r="I25" s="2">
        <v>0</v>
      </c>
      <c r="J25" s="2">
        <f t="shared" si="3"/>
        <v>420</v>
      </c>
      <c r="K25" s="2">
        <f t="shared" si="2"/>
        <v>0</v>
      </c>
      <c r="L25" s="2">
        <v>35</v>
      </c>
      <c r="M25" s="2">
        <f t="shared" si="1"/>
        <v>525</v>
      </c>
      <c r="N25" s="5" t="s">
        <v>19</v>
      </c>
    </row>
    <row r="26" spans="1:15" x14ac:dyDescent="0.3">
      <c r="A26" t="s">
        <v>64</v>
      </c>
      <c r="C26" t="s">
        <v>75</v>
      </c>
      <c r="D26" t="s">
        <v>73</v>
      </c>
      <c r="E26" t="s">
        <v>74</v>
      </c>
      <c r="F26">
        <v>3</v>
      </c>
      <c r="H26" s="2">
        <v>0</v>
      </c>
      <c r="I26" s="2">
        <v>52.5</v>
      </c>
      <c r="J26" s="2">
        <f t="shared" ref="J26:J67" si="4">F26*105</f>
        <v>315</v>
      </c>
      <c r="K26" s="2">
        <f t="shared" ref="K26:K40" si="5">G26*140</f>
        <v>0</v>
      </c>
      <c r="L26" s="2">
        <v>35</v>
      </c>
      <c r="M26" s="2">
        <f t="shared" ref="M26:M40" si="6">SUM(H26:L26)</f>
        <v>402.5</v>
      </c>
      <c r="N26" s="5" t="s">
        <v>19</v>
      </c>
    </row>
    <row r="27" spans="1:15" x14ac:dyDescent="0.3">
      <c r="A27" t="s">
        <v>64</v>
      </c>
      <c r="C27" t="s">
        <v>56</v>
      </c>
      <c r="D27" t="s">
        <v>74</v>
      </c>
      <c r="E27" t="s">
        <v>76</v>
      </c>
      <c r="F27">
        <v>3</v>
      </c>
      <c r="G27">
        <v>2</v>
      </c>
      <c r="H27" s="2">
        <v>0</v>
      </c>
      <c r="I27" s="2">
        <v>0</v>
      </c>
      <c r="J27" s="2">
        <f t="shared" si="4"/>
        <v>315</v>
      </c>
      <c r="K27" s="2">
        <f t="shared" si="5"/>
        <v>280</v>
      </c>
      <c r="L27" s="2">
        <v>0</v>
      </c>
      <c r="M27" s="2">
        <f t="shared" si="6"/>
        <v>595</v>
      </c>
      <c r="N27" s="5" t="s">
        <v>19</v>
      </c>
    </row>
    <row r="28" spans="1:15" x14ac:dyDescent="0.3">
      <c r="A28" t="s">
        <v>64</v>
      </c>
      <c r="C28" t="s">
        <v>7</v>
      </c>
      <c r="D28" t="s">
        <v>76</v>
      </c>
      <c r="E28" t="s">
        <v>77</v>
      </c>
      <c r="F28">
        <v>2</v>
      </c>
      <c r="H28" s="2">
        <v>52.5</v>
      </c>
      <c r="I28" s="2">
        <v>0</v>
      </c>
      <c r="J28" s="2">
        <f t="shared" si="4"/>
        <v>210</v>
      </c>
      <c r="K28" s="2">
        <f t="shared" si="5"/>
        <v>0</v>
      </c>
      <c r="L28" s="2">
        <v>140</v>
      </c>
      <c r="M28" s="2">
        <f t="shared" si="6"/>
        <v>402.5</v>
      </c>
      <c r="N28" s="5" t="s">
        <v>19</v>
      </c>
    </row>
    <row r="29" spans="1:15" x14ac:dyDescent="0.3">
      <c r="A29" t="s">
        <v>3</v>
      </c>
      <c r="C29" t="s">
        <v>18</v>
      </c>
      <c r="D29" t="s">
        <v>78</v>
      </c>
      <c r="E29" t="s">
        <v>79</v>
      </c>
      <c r="F29">
        <v>1</v>
      </c>
      <c r="G29">
        <v>3</v>
      </c>
      <c r="H29" s="2">
        <v>0</v>
      </c>
      <c r="I29" s="2">
        <v>0</v>
      </c>
      <c r="J29" s="2">
        <f t="shared" si="4"/>
        <v>105</v>
      </c>
      <c r="K29" s="2">
        <f t="shared" si="5"/>
        <v>420</v>
      </c>
      <c r="L29" s="2">
        <v>0</v>
      </c>
      <c r="M29" s="2">
        <f t="shared" si="6"/>
        <v>525</v>
      </c>
      <c r="N29" s="5" t="s">
        <v>19</v>
      </c>
    </row>
    <row r="30" spans="1:15" x14ac:dyDescent="0.3">
      <c r="A30" t="s">
        <v>80</v>
      </c>
      <c r="C30" t="s">
        <v>18</v>
      </c>
      <c r="D30" t="s">
        <v>81</v>
      </c>
      <c r="E30" t="s">
        <v>82</v>
      </c>
      <c r="F30">
        <v>1</v>
      </c>
      <c r="G30">
        <v>1</v>
      </c>
      <c r="H30" s="2">
        <v>0</v>
      </c>
      <c r="I30" s="2">
        <v>0</v>
      </c>
      <c r="J30" s="2">
        <f t="shared" si="4"/>
        <v>105</v>
      </c>
      <c r="K30" s="2">
        <f t="shared" si="5"/>
        <v>140</v>
      </c>
      <c r="L30" s="2">
        <v>0</v>
      </c>
      <c r="M30" s="2">
        <f t="shared" si="6"/>
        <v>245</v>
      </c>
      <c r="N30" s="5" t="s">
        <v>19</v>
      </c>
    </row>
    <row r="31" spans="1:15" x14ac:dyDescent="0.3">
      <c r="A31" t="s">
        <v>83</v>
      </c>
      <c r="C31" t="s">
        <v>43</v>
      </c>
      <c r="D31" t="s">
        <v>84</v>
      </c>
      <c r="E31" t="s">
        <v>85</v>
      </c>
      <c r="F31">
        <v>9</v>
      </c>
      <c r="G31">
        <v>2</v>
      </c>
      <c r="H31" s="2">
        <v>52.5</v>
      </c>
      <c r="I31" s="2">
        <v>0</v>
      </c>
      <c r="J31" s="2">
        <f t="shared" si="4"/>
        <v>945</v>
      </c>
      <c r="K31" s="2">
        <f t="shared" si="5"/>
        <v>280</v>
      </c>
      <c r="L31" s="2">
        <v>35</v>
      </c>
      <c r="M31" s="2">
        <f t="shared" si="6"/>
        <v>1312.5</v>
      </c>
      <c r="N31" s="5" t="s">
        <v>19</v>
      </c>
    </row>
    <row r="32" spans="1:15" x14ac:dyDescent="0.3">
      <c r="A32" t="s">
        <v>86</v>
      </c>
      <c r="C32" t="s">
        <v>18</v>
      </c>
      <c r="D32" t="s">
        <v>87</v>
      </c>
      <c r="E32" t="s">
        <v>84</v>
      </c>
      <c r="G32">
        <v>2</v>
      </c>
      <c r="H32" s="2">
        <v>0</v>
      </c>
      <c r="I32" s="2">
        <v>52.5</v>
      </c>
      <c r="J32" s="2">
        <f t="shared" si="4"/>
        <v>0</v>
      </c>
      <c r="K32" s="2">
        <f t="shared" si="5"/>
        <v>280</v>
      </c>
      <c r="L32" s="2">
        <v>35</v>
      </c>
      <c r="M32" s="2">
        <f t="shared" si="6"/>
        <v>367.5</v>
      </c>
      <c r="N32" s="5" t="s">
        <v>19</v>
      </c>
    </row>
    <row r="33" spans="1:14" x14ac:dyDescent="0.3">
      <c r="A33" t="s">
        <v>38</v>
      </c>
      <c r="C33" t="s">
        <v>18</v>
      </c>
      <c r="D33" t="s">
        <v>89</v>
      </c>
      <c r="E33" t="s">
        <v>90</v>
      </c>
      <c r="F33">
        <v>2</v>
      </c>
      <c r="G33">
        <v>1</v>
      </c>
      <c r="H33" s="2">
        <v>0</v>
      </c>
      <c r="I33" s="2">
        <v>0</v>
      </c>
      <c r="J33" s="2">
        <f t="shared" si="4"/>
        <v>210</v>
      </c>
      <c r="K33" s="2">
        <f t="shared" si="5"/>
        <v>140</v>
      </c>
      <c r="L33" s="2">
        <v>0</v>
      </c>
      <c r="M33" s="2">
        <f t="shared" si="6"/>
        <v>350</v>
      </c>
      <c r="N33" s="5" t="s">
        <v>19</v>
      </c>
    </row>
    <row r="34" spans="1:14" x14ac:dyDescent="0.3">
      <c r="A34" t="s">
        <v>91</v>
      </c>
      <c r="C34" t="s">
        <v>7</v>
      </c>
      <c r="D34" t="s">
        <v>48</v>
      </c>
      <c r="E34" t="s">
        <v>125</v>
      </c>
      <c r="F34">
        <v>8</v>
      </c>
      <c r="G34">
        <v>2</v>
      </c>
      <c r="H34" s="2">
        <v>52.5</v>
      </c>
      <c r="I34" s="2">
        <v>52.5</v>
      </c>
      <c r="J34" s="2">
        <f t="shared" si="4"/>
        <v>840</v>
      </c>
      <c r="K34" s="2">
        <f t="shared" si="5"/>
        <v>280</v>
      </c>
      <c r="L34" s="2">
        <v>0</v>
      </c>
      <c r="M34" s="2">
        <f t="shared" si="6"/>
        <v>1225</v>
      </c>
      <c r="N34" s="5" t="s">
        <v>19</v>
      </c>
    </row>
    <row r="35" spans="1:14" x14ac:dyDescent="0.3">
      <c r="A35" t="s">
        <v>92</v>
      </c>
      <c r="C35" t="s">
        <v>56</v>
      </c>
      <c r="D35" t="s">
        <v>95</v>
      </c>
      <c r="E35" t="s">
        <v>96</v>
      </c>
      <c r="F35">
        <v>2</v>
      </c>
      <c r="H35" s="2">
        <v>52.5</v>
      </c>
      <c r="I35" s="2">
        <v>0</v>
      </c>
      <c r="J35" s="2">
        <f t="shared" si="4"/>
        <v>210</v>
      </c>
      <c r="K35" s="2">
        <f t="shared" si="5"/>
        <v>0</v>
      </c>
      <c r="L35" s="2">
        <v>0</v>
      </c>
      <c r="M35" s="2">
        <f t="shared" si="6"/>
        <v>262.5</v>
      </c>
      <c r="N35" s="5" t="s">
        <v>19</v>
      </c>
    </row>
    <row r="36" spans="1:14" x14ac:dyDescent="0.3">
      <c r="A36" t="s">
        <v>93</v>
      </c>
      <c r="C36" t="s">
        <v>56</v>
      </c>
      <c r="D36" t="s">
        <v>95</v>
      </c>
      <c r="E36" t="s">
        <v>96</v>
      </c>
      <c r="F36">
        <v>2</v>
      </c>
      <c r="H36" s="2">
        <v>52.5</v>
      </c>
      <c r="I36" s="2">
        <v>0</v>
      </c>
      <c r="J36" s="2">
        <f t="shared" si="4"/>
        <v>210</v>
      </c>
      <c r="K36" s="2">
        <f t="shared" si="5"/>
        <v>0</v>
      </c>
      <c r="L36" s="2">
        <v>0</v>
      </c>
      <c r="M36" s="2">
        <f t="shared" si="6"/>
        <v>262.5</v>
      </c>
      <c r="N36" s="5" t="s">
        <v>19</v>
      </c>
    </row>
    <row r="37" spans="1:14" x14ac:dyDescent="0.3">
      <c r="A37" t="s">
        <v>94</v>
      </c>
      <c r="C37" t="s">
        <v>56</v>
      </c>
      <c r="D37" t="s">
        <v>95</v>
      </c>
      <c r="E37" t="s">
        <v>96</v>
      </c>
      <c r="F37">
        <v>2</v>
      </c>
      <c r="H37" s="2">
        <v>52.5</v>
      </c>
      <c r="I37" s="2">
        <v>0</v>
      </c>
      <c r="J37" s="2">
        <f t="shared" si="4"/>
        <v>210</v>
      </c>
      <c r="K37" s="2">
        <f t="shared" si="5"/>
        <v>0</v>
      </c>
      <c r="L37" s="2">
        <v>0</v>
      </c>
      <c r="M37" s="2">
        <f t="shared" si="6"/>
        <v>262.5</v>
      </c>
      <c r="N37" s="5" t="s">
        <v>19</v>
      </c>
    </row>
    <row r="38" spans="1:14" x14ac:dyDescent="0.3">
      <c r="A38" t="s">
        <v>98</v>
      </c>
      <c r="C38" t="s">
        <v>18</v>
      </c>
      <c r="D38" t="s">
        <v>97</v>
      </c>
      <c r="E38" t="s">
        <v>99</v>
      </c>
      <c r="F38">
        <v>10</v>
      </c>
      <c r="G38">
        <v>2</v>
      </c>
      <c r="H38" s="2">
        <v>0</v>
      </c>
      <c r="I38" s="2">
        <v>0</v>
      </c>
      <c r="J38" s="2">
        <f t="shared" si="4"/>
        <v>1050</v>
      </c>
      <c r="K38" s="2">
        <f t="shared" si="5"/>
        <v>280</v>
      </c>
      <c r="L38" s="2">
        <v>420</v>
      </c>
      <c r="M38" s="2">
        <f t="shared" si="6"/>
        <v>1750</v>
      </c>
      <c r="N38" s="5" t="s">
        <v>19</v>
      </c>
    </row>
    <row r="39" spans="1:14" x14ac:dyDescent="0.3">
      <c r="A39" s="16" t="s">
        <v>15</v>
      </c>
      <c r="B39" s="16"/>
      <c r="C39" s="16" t="s">
        <v>102</v>
      </c>
      <c r="D39" s="16" t="s">
        <v>100</v>
      </c>
      <c r="E39" s="16" t="s">
        <v>101</v>
      </c>
      <c r="F39" s="16">
        <v>3</v>
      </c>
      <c r="G39" s="16"/>
      <c r="H39" s="17">
        <v>52.5</v>
      </c>
      <c r="I39" s="17">
        <v>0</v>
      </c>
      <c r="J39" s="17">
        <f t="shared" si="4"/>
        <v>315</v>
      </c>
      <c r="K39" s="17">
        <f t="shared" si="5"/>
        <v>0</v>
      </c>
      <c r="L39" s="17">
        <v>0</v>
      </c>
      <c r="M39" s="17">
        <f t="shared" si="6"/>
        <v>367.5</v>
      </c>
      <c r="N39" s="5" t="s">
        <v>19</v>
      </c>
    </row>
    <row r="40" spans="1:14" x14ac:dyDescent="0.3">
      <c r="A40" t="s">
        <v>98</v>
      </c>
      <c r="C40" t="s">
        <v>104</v>
      </c>
      <c r="D40" t="s">
        <v>103</v>
      </c>
      <c r="E40" t="s">
        <v>105</v>
      </c>
      <c r="F40">
        <v>2</v>
      </c>
      <c r="H40" s="2">
        <v>70</v>
      </c>
      <c r="I40" s="2">
        <v>52.5</v>
      </c>
      <c r="J40" s="2">
        <f t="shared" si="4"/>
        <v>210</v>
      </c>
      <c r="K40" s="2">
        <f t="shared" si="5"/>
        <v>0</v>
      </c>
      <c r="L40" s="2">
        <v>0</v>
      </c>
      <c r="M40" s="2">
        <f t="shared" si="6"/>
        <v>332.5</v>
      </c>
      <c r="N40" s="5" t="s">
        <v>19</v>
      </c>
    </row>
    <row r="41" spans="1:14" x14ac:dyDescent="0.3">
      <c r="A41" t="s">
        <v>62</v>
      </c>
      <c r="C41" t="s">
        <v>104</v>
      </c>
      <c r="D41" t="s">
        <v>103</v>
      </c>
      <c r="E41" t="s">
        <v>105</v>
      </c>
      <c r="F41">
        <v>2</v>
      </c>
      <c r="H41" s="2">
        <v>70</v>
      </c>
      <c r="I41" s="2">
        <v>52.5</v>
      </c>
      <c r="J41" s="2">
        <f t="shared" si="4"/>
        <v>210</v>
      </c>
      <c r="K41" s="2">
        <f t="shared" ref="K41:K53" si="7">G41*140</f>
        <v>0</v>
      </c>
      <c r="L41" s="2">
        <v>0</v>
      </c>
      <c r="M41" s="2">
        <f t="shared" ref="M41:M61" si="8">SUM(H41:L41)</f>
        <v>332.5</v>
      </c>
      <c r="N41" s="5" t="s">
        <v>19</v>
      </c>
    </row>
    <row r="42" spans="1:14" x14ac:dyDescent="0.3">
      <c r="A42" t="s">
        <v>106</v>
      </c>
      <c r="B42" s="3">
        <v>45939</v>
      </c>
      <c r="C42" t="s">
        <v>43</v>
      </c>
      <c r="D42" t="s">
        <v>107</v>
      </c>
      <c r="E42" t="s">
        <v>108</v>
      </c>
      <c r="F42">
        <v>5</v>
      </c>
      <c r="H42" s="2">
        <v>0</v>
      </c>
      <c r="I42" s="2">
        <v>0</v>
      </c>
      <c r="J42" s="2">
        <f t="shared" si="4"/>
        <v>525</v>
      </c>
      <c r="K42" s="2">
        <f t="shared" si="7"/>
        <v>0</v>
      </c>
      <c r="L42" s="2">
        <v>0</v>
      </c>
      <c r="M42" s="10">
        <f t="shared" si="8"/>
        <v>525</v>
      </c>
      <c r="N42" s="5" t="s">
        <v>19</v>
      </c>
    </row>
    <row r="43" spans="1:14" x14ac:dyDescent="0.3">
      <c r="A43" t="s">
        <v>109</v>
      </c>
      <c r="B43" s="3">
        <v>45939</v>
      </c>
      <c r="C43" t="s">
        <v>43</v>
      </c>
      <c r="D43" t="s">
        <v>107</v>
      </c>
      <c r="E43" t="s">
        <v>108</v>
      </c>
      <c r="F43">
        <v>5</v>
      </c>
      <c r="H43" s="2">
        <v>0</v>
      </c>
      <c r="I43" s="2">
        <v>0</v>
      </c>
      <c r="J43" s="2">
        <f t="shared" si="4"/>
        <v>525</v>
      </c>
      <c r="K43" s="2">
        <f t="shared" si="7"/>
        <v>0</v>
      </c>
      <c r="L43" s="2">
        <v>0</v>
      </c>
      <c r="M43" s="10">
        <f t="shared" si="8"/>
        <v>525</v>
      </c>
      <c r="N43" s="5" t="s">
        <v>19</v>
      </c>
    </row>
    <row r="44" spans="1:14" x14ac:dyDescent="0.3">
      <c r="A44" t="s">
        <v>110</v>
      </c>
      <c r="B44" s="3">
        <v>45939</v>
      </c>
      <c r="C44" t="s">
        <v>18</v>
      </c>
      <c r="D44" t="s">
        <v>113</v>
      </c>
      <c r="E44" t="s">
        <v>114</v>
      </c>
      <c r="F44">
        <v>1</v>
      </c>
      <c r="H44" s="2">
        <v>0</v>
      </c>
      <c r="I44" s="2">
        <v>0</v>
      </c>
      <c r="J44" s="2">
        <f t="shared" si="4"/>
        <v>105</v>
      </c>
      <c r="K44" s="2">
        <f t="shared" si="7"/>
        <v>0</v>
      </c>
      <c r="L44" s="2">
        <v>0</v>
      </c>
      <c r="M44" s="11">
        <f t="shared" si="8"/>
        <v>105</v>
      </c>
      <c r="N44" s="5" t="s">
        <v>19</v>
      </c>
    </row>
    <row r="45" spans="1:14" x14ac:dyDescent="0.3">
      <c r="A45" t="s">
        <v>111</v>
      </c>
      <c r="B45" s="3">
        <v>45939</v>
      </c>
      <c r="C45" t="s">
        <v>18</v>
      </c>
      <c r="D45" t="s">
        <v>113</v>
      </c>
      <c r="E45" t="s">
        <v>114</v>
      </c>
      <c r="F45">
        <v>1</v>
      </c>
      <c r="H45" s="2">
        <v>0</v>
      </c>
      <c r="I45" s="2">
        <v>0</v>
      </c>
      <c r="J45" s="2">
        <f t="shared" si="4"/>
        <v>105</v>
      </c>
      <c r="K45" s="2">
        <f t="shared" si="7"/>
        <v>0</v>
      </c>
      <c r="L45" s="2">
        <v>0</v>
      </c>
      <c r="M45" s="11">
        <f t="shared" si="8"/>
        <v>105</v>
      </c>
      <c r="N45" s="5" t="s">
        <v>19</v>
      </c>
    </row>
    <row r="46" spans="1:14" x14ac:dyDescent="0.3">
      <c r="A46" t="s">
        <v>112</v>
      </c>
      <c r="B46" s="3">
        <v>45939</v>
      </c>
      <c r="C46" t="s">
        <v>18</v>
      </c>
      <c r="D46" t="s">
        <v>113</v>
      </c>
      <c r="E46" t="s">
        <v>114</v>
      </c>
      <c r="F46">
        <v>1</v>
      </c>
      <c r="H46" s="2">
        <v>0</v>
      </c>
      <c r="I46" s="2">
        <v>0</v>
      </c>
      <c r="J46" s="2">
        <f t="shared" si="4"/>
        <v>105</v>
      </c>
      <c r="K46" s="2">
        <f t="shared" si="7"/>
        <v>0</v>
      </c>
      <c r="L46" s="2">
        <v>0</v>
      </c>
      <c r="M46" s="11">
        <f t="shared" si="8"/>
        <v>105</v>
      </c>
      <c r="N46" s="5" t="s">
        <v>19</v>
      </c>
    </row>
    <row r="47" spans="1:14" x14ac:dyDescent="0.3">
      <c r="A47" t="s">
        <v>115</v>
      </c>
      <c r="B47" s="3">
        <v>45940</v>
      </c>
      <c r="C47" t="s">
        <v>118</v>
      </c>
      <c r="D47" t="s">
        <v>117</v>
      </c>
      <c r="E47" t="s">
        <v>119</v>
      </c>
      <c r="F47">
        <v>3</v>
      </c>
      <c r="H47" s="2">
        <v>0</v>
      </c>
      <c r="I47" s="2">
        <v>0</v>
      </c>
      <c r="J47" s="2">
        <f t="shared" si="4"/>
        <v>315</v>
      </c>
      <c r="K47" s="2">
        <f t="shared" si="7"/>
        <v>0</v>
      </c>
      <c r="L47" s="2">
        <v>70</v>
      </c>
      <c r="M47" s="2">
        <f t="shared" si="8"/>
        <v>385</v>
      </c>
      <c r="N47" s="5" t="s">
        <v>19</v>
      </c>
    </row>
    <row r="48" spans="1:14" x14ac:dyDescent="0.3">
      <c r="A48" t="s">
        <v>115</v>
      </c>
      <c r="B48" s="3">
        <v>45940</v>
      </c>
      <c r="C48" t="s">
        <v>120</v>
      </c>
      <c r="D48" t="s">
        <v>121</v>
      </c>
      <c r="E48" t="s">
        <v>122</v>
      </c>
      <c r="F48">
        <v>4</v>
      </c>
      <c r="H48" s="2">
        <v>0</v>
      </c>
      <c r="I48" s="2">
        <v>0</v>
      </c>
      <c r="J48" s="2">
        <f t="shared" si="4"/>
        <v>420</v>
      </c>
      <c r="K48" s="2">
        <f t="shared" si="7"/>
        <v>0</v>
      </c>
      <c r="L48" s="2">
        <v>35</v>
      </c>
      <c r="M48" s="2">
        <f t="shared" si="8"/>
        <v>455</v>
      </c>
      <c r="N48" s="5" t="s">
        <v>19</v>
      </c>
    </row>
    <row r="49" spans="1:14" x14ac:dyDescent="0.3">
      <c r="A49" t="s">
        <v>42</v>
      </c>
      <c r="B49" s="3">
        <v>45943</v>
      </c>
      <c r="C49" t="s">
        <v>18</v>
      </c>
      <c r="D49" t="s">
        <v>124</v>
      </c>
      <c r="E49" t="s">
        <v>123</v>
      </c>
      <c r="F49">
        <v>6</v>
      </c>
      <c r="G49">
        <v>2</v>
      </c>
      <c r="H49" s="2">
        <v>0</v>
      </c>
      <c r="I49" s="2">
        <v>0</v>
      </c>
      <c r="J49" s="2">
        <f t="shared" si="4"/>
        <v>630</v>
      </c>
      <c r="K49" s="2">
        <f t="shared" si="7"/>
        <v>280</v>
      </c>
      <c r="L49" s="2">
        <v>315</v>
      </c>
      <c r="M49" s="2">
        <f t="shared" si="8"/>
        <v>1225</v>
      </c>
      <c r="N49" s="5" t="s">
        <v>19</v>
      </c>
    </row>
    <row r="50" spans="1:14" x14ac:dyDescent="0.3">
      <c r="A50" t="s">
        <v>140</v>
      </c>
      <c r="B50" s="3">
        <v>45944</v>
      </c>
      <c r="C50" t="s">
        <v>18</v>
      </c>
      <c r="D50" t="s">
        <v>131</v>
      </c>
      <c r="E50" s="4" t="s">
        <v>138</v>
      </c>
      <c r="F50">
        <v>2</v>
      </c>
      <c r="H50" s="2">
        <v>0</v>
      </c>
      <c r="I50" s="2">
        <v>0</v>
      </c>
      <c r="J50" s="2">
        <f t="shared" si="4"/>
        <v>210</v>
      </c>
      <c r="K50" s="2">
        <f t="shared" si="7"/>
        <v>0</v>
      </c>
      <c r="L50" s="2">
        <v>70</v>
      </c>
      <c r="M50" s="2">
        <f t="shared" si="8"/>
        <v>280</v>
      </c>
      <c r="N50" s="5" t="s">
        <v>19</v>
      </c>
    </row>
    <row r="51" spans="1:14" x14ac:dyDescent="0.3">
      <c r="A51" t="s">
        <v>139</v>
      </c>
      <c r="B51" s="3">
        <v>45944</v>
      </c>
      <c r="C51" t="s">
        <v>18</v>
      </c>
      <c r="D51" t="s">
        <v>131</v>
      </c>
      <c r="E51" s="4" t="s">
        <v>138</v>
      </c>
      <c r="F51">
        <v>2</v>
      </c>
      <c r="H51" s="2">
        <v>0</v>
      </c>
      <c r="I51" s="2">
        <v>0</v>
      </c>
      <c r="J51" s="2">
        <f t="shared" si="4"/>
        <v>210</v>
      </c>
      <c r="K51" s="2">
        <f t="shared" si="7"/>
        <v>0</v>
      </c>
      <c r="L51" s="2">
        <v>70</v>
      </c>
      <c r="M51" s="2">
        <f t="shared" si="8"/>
        <v>280</v>
      </c>
      <c r="N51" s="5" t="s">
        <v>19</v>
      </c>
    </row>
    <row r="52" spans="1:14" x14ac:dyDescent="0.3">
      <c r="A52" t="s">
        <v>130</v>
      </c>
      <c r="B52" s="3">
        <v>45944</v>
      </c>
      <c r="C52" t="s">
        <v>18</v>
      </c>
      <c r="D52" t="s">
        <v>131</v>
      </c>
      <c r="E52" s="4" t="s">
        <v>138</v>
      </c>
      <c r="F52">
        <v>2</v>
      </c>
      <c r="H52" s="2">
        <v>0</v>
      </c>
      <c r="I52" s="2">
        <v>0</v>
      </c>
      <c r="J52" s="2">
        <f t="shared" si="4"/>
        <v>210</v>
      </c>
      <c r="K52" s="2">
        <f t="shared" si="7"/>
        <v>0</v>
      </c>
      <c r="L52" s="2">
        <v>35</v>
      </c>
      <c r="M52" s="2">
        <f t="shared" si="8"/>
        <v>245</v>
      </c>
      <c r="N52" s="5" t="s">
        <v>19</v>
      </c>
    </row>
    <row r="53" spans="1:14" x14ac:dyDescent="0.3">
      <c r="A53" t="s">
        <v>98</v>
      </c>
      <c r="B53" s="3">
        <v>45944</v>
      </c>
      <c r="C53" t="s">
        <v>120</v>
      </c>
      <c r="D53" t="s">
        <v>132</v>
      </c>
      <c r="E53" t="s">
        <v>133</v>
      </c>
      <c r="F53">
        <v>4</v>
      </c>
      <c r="H53" s="2">
        <v>0</v>
      </c>
      <c r="I53" s="2">
        <v>0</v>
      </c>
      <c r="J53" s="2">
        <f t="shared" si="4"/>
        <v>420</v>
      </c>
      <c r="K53" s="2">
        <f t="shared" si="7"/>
        <v>0</v>
      </c>
      <c r="L53" s="2">
        <v>35</v>
      </c>
      <c r="M53" s="2">
        <f t="shared" si="8"/>
        <v>455</v>
      </c>
      <c r="N53" s="5" t="s">
        <v>19</v>
      </c>
    </row>
    <row r="54" spans="1:14" x14ac:dyDescent="0.3">
      <c r="A54" t="s">
        <v>83</v>
      </c>
      <c r="B54" s="3">
        <v>45944</v>
      </c>
      <c r="C54" t="s">
        <v>136</v>
      </c>
      <c r="D54" s="9" t="s">
        <v>135</v>
      </c>
      <c r="E54" t="s">
        <v>134</v>
      </c>
      <c r="F54">
        <v>1</v>
      </c>
      <c r="G54">
        <v>2</v>
      </c>
      <c r="H54" s="2">
        <v>0</v>
      </c>
      <c r="I54" s="2">
        <v>52.5</v>
      </c>
      <c r="J54" s="2">
        <f t="shared" si="4"/>
        <v>105</v>
      </c>
      <c r="K54" s="2">
        <f t="shared" ref="K54:K61" si="9">G54*140</f>
        <v>280</v>
      </c>
      <c r="L54" s="2">
        <v>0</v>
      </c>
      <c r="M54" s="2">
        <f t="shared" si="8"/>
        <v>437.5</v>
      </c>
      <c r="N54" s="5" t="s">
        <v>19</v>
      </c>
    </row>
    <row r="55" spans="1:14" x14ac:dyDescent="0.3">
      <c r="A55" t="s">
        <v>137</v>
      </c>
      <c r="B55" s="3">
        <v>45944</v>
      </c>
      <c r="C55" t="s">
        <v>136</v>
      </c>
      <c r="D55" t="s">
        <v>135</v>
      </c>
      <c r="E55" t="s">
        <v>134</v>
      </c>
      <c r="F55">
        <v>1</v>
      </c>
      <c r="G55">
        <v>2</v>
      </c>
      <c r="H55" s="2">
        <v>0</v>
      </c>
      <c r="I55" s="2">
        <v>52.5</v>
      </c>
      <c r="J55" s="2">
        <f t="shared" si="4"/>
        <v>105</v>
      </c>
      <c r="K55" s="2">
        <f t="shared" si="9"/>
        <v>280</v>
      </c>
      <c r="L55" s="2">
        <v>0</v>
      </c>
      <c r="M55" s="2">
        <f t="shared" si="8"/>
        <v>437.5</v>
      </c>
      <c r="N55" s="5" t="s">
        <v>19</v>
      </c>
    </row>
    <row r="56" spans="1:14" x14ac:dyDescent="0.3">
      <c r="A56" t="s">
        <v>142</v>
      </c>
      <c r="B56" s="3">
        <v>45945</v>
      </c>
      <c r="C56" t="s">
        <v>56</v>
      </c>
      <c r="D56" t="s">
        <v>143</v>
      </c>
      <c r="E56" t="s">
        <v>144</v>
      </c>
      <c r="F56">
        <v>1</v>
      </c>
      <c r="H56" s="2">
        <v>0</v>
      </c>
      <c r="I56" s="2">
        <v>0</v>
      </c>
      <c r="J56" s="2">
        <f t="shared" si="4"/>
        <v>105</v>
      </c>
      <c r="K56" s="2">
        <f t="shared" si="9"/>
        <v>0</v>
      </c>
      <c r="L56" s="2">
        <v>35</v>
      </c>
      <c r="M56" s="2">
        <f t="shared" si="8"/>
        <v>140</v>
      </c>
      <c r="N56" s="5" t="s">
        <v>19</v>
      </c>
    </row>
    <row r="57" spans="1:14" x14ac:dyDescent="0.3">
      <c r="A57" t="s">
        <v>146</v>
      </c>
      <c r="B57" s="3">
        <v>45945</v>
      </c>
      <c r="C57" t="s">
        <v>147</v>
      </c>
      <c r="D57" t="s">
        <v>148</v>
      </c>
      <c r="E57" t="s">
        <v>145</v>
      </c>
      <c r="F57">
        <v>5</v>
      </c>
      <c r="H57" s="2">
        <v>0</v>
      </c>
      <c r="I57" s="2">
        <v>0</v>
      </c>
      <c r="J57" s="2">
        <f t="shared" si="4"/>
        <v>525</v>
      </c>
      <c r="K57" s="2">
        <f t="shared" si="9"/>
        <v>0</v>
      </c>
      <c r="L57" s="2">
        <v>0</v>
      </c>
      <c r="M57" s="2">
        <f t="shared" si="8"/>
        <v>525</v>
      </c>
      <c r="N57" s="5" t="s">
        <v>19</v>
      </c>
    </row>
    <row r="58" spans="1:14" x14ac:dyDescent="0.3">
      <c r="A58" t="s">
        <v>140</v>
      </c>
      <c r="B58" s="3">
        <v>45952</v>
      </c>
      <c r="C58" t="s">
        <v>149</v>
      </c>
      <c r="D58" t="s">
        <v>131</v>
      </c>
      <c r="E58" s="4" t="s">
        <v>138</v>
      </c>
      <c r="F58">
        <v>1</v>
      </c>
      <c r="H58" s="2">
        <v>0</v>
      </c>
      <c r="I58" s="2">
        <v>0</v>
      </c>
      <c r="J58" s="2">
        <f t="shared" si="4"/>
        <v>105</v>
      </c>
      <c r="K58" s="2">
        <f t="shared" si="9"/>
        <v>0</v>
      </c>
      <c r="L58" s="2">
        <v>0</v>
      </c>
      <c r="M58" s="2">
        <f t="shared" si="8"/>
        <v>105</v>
      </c>
      <c r="N58" s="5" t="s">
        <v>19</v>
      </c>
    </row>
    <row r="59" spans="1:14" x14ac:dyDescent="0.3">
      <c r="A59" t="s">
        <v>139</v>
      </c>
      <c r="B59" s="3">
        <v>45952</v>
      </c>
      <c r="C59" t="s">
        <v>149</v>
      </c>
      <c r="D59" t="s">
        <v>131</v>
      </c>
      <c r="E59" s="4" t="s">
        <v>138</v>
      </c>
      <c r="F59">
        <v>1</v>
      </c>
      <c r="H59" s="2">
        <v>0</v>
      </c>
      <c r="I59" s="2">
        <v>0</v>
      </c>
      <c r="J59" s="2">
        <f t="shared" si="4"/>
        <v>105</v>
      </c>
      <c r="K59" s="2">
        <f t="shared" si="9"/>
        <v>0</v>
      </c>
      <c r="L59" s="2">
        <v>0</v>
      </c>
      <c r="M59" s="2">
        <f t="shared" si="8"/>
        <v>105</v>
      </c>
      <c r="N59" s="5" t="s">
        <v>19</v>
      </c>
    </row>
    <row r="60" spans="1:14" x14ac:dyDescent="0.3">
      <c r="A60" t="s">
        <v>130</v>
      </c>
      <c r="B60" s="3">
        <v>45952</v>
      </c>
      <c r="C60" t="s">
        <v>149</v>
      </c>
      <c r="D60" t="s">
        <v>131</v>
      </c>
      <c r="E60" s="4" t="s">
        <v>138</v>
      </c>
      <c r="F60">
        <v>1</v>
      </c>
      <c r="H60" s="2">
        <v>0</v>
      </c>
      <c r="I60" s="2">
        <v>0</v>
      </c>
      <c r="J60" s="2">
        <f t="shared" si="4"/>
        <v>105</v>
      </c>
      <c r="K60" s="2">
        <f t="shared" si="9"/>
        <v>0</v>
      </c>
      <c r="L60" s="2">
        <v>0</v>
      </c>
      <c r="M60" s="2">
        <f t="shared" si="8"/>
        <v>105</v>
      </c>
      <c r="N60" s="5" t="s">
        <v>19</v>
      </c>
    </row>
    <row r="61" spans="1:14" x14ac:dyDescent="0.3">
      <c r="A61" t="s">
        <v>38</v>
      </c>
      <c r="B61" s="3">
        <v>45954</v>
      </c>
      <c r="C61" t="s">
        <v>18</v>
      </c>
      <c r="D61" t="s">
        <v>150</v>
      </c>
      <c r="E61" s="4" t="s">
        <v>151</v>
      </c>
      <c r="F61">
        <v>4</v>
      </c>
      <c r="H61" s="14">
        <v>0</v>
      </c>
      <c r="I61" s="14">
        <v>0</v>
      </c>
      <c r="J61" s="14">
        <f t="shared" si="4"/>
        <v>420</v>
      </c>
      <c r="K61" s="14">
        <f t="shared" si="9"/>
        <v>0</v>
      </c>
      <c r="L61" s="14">
        <v>140</v>
      </c>
      <c r="M61" s="14">
        <f t="shared" si="8"/>
        <v>560</v>
      </c>
      <c r="N61" s="5" t="s">
        <v>19</v>
      </c>
    </row>
    <row r="62" spans="1:14" x14ac:dyDescent="0.3">
      <c r="A62" s="15" t="s">
        <v>152</v>
      </c>
      <c r="B62" s="3">
        <v>45957</v>
      </c>
      <c r="C62" t="s">
        <v>153</v>
      </c>
      <c r="D62" t="s">
        <v>155</v>
      </c>
      <c r="E62" s="4" t="s">
        <v>154</v>
      </c>
      <c r="F62">
        <v>4</v>
      </c>
      <c r="H62" s="14">
        <v>70</v>
      </c>
      <c r="I62" s="14">
        <v>52.5</v>
      </c>
      <c r="J62" s="14">
        <f t="shared" si="4"/>
        <v>420</v>
      </c>
      <c r="K62" s="14">
        <f t="shared" ref="K62:K68" si="10">G62*140</f>
        <v>0</v>
      </c>
      <c r="L62" s="14">
        <v>0</v>
      </c>
      <c r="M62" s="10">
        <f t="shared" ref="M62:M68" si="11">SUM(H62:L62)</f>
        <v>542.5</v>
      </c>
      <c r="N62" s="5" t="s">
        <v>19</v>
      </c>
    </row>
    <row r="63" spans="1:14" x14ac:dyDescent="0.3">
      <c r="A63" s="15" t="s">
        <v>98</v>
      </c>
      <c r="B63" s="3">
        <v>45957</v>
      </c>
      <c r="C63" t="s">
        <v>153</v>
      </c>
      <c r="D63" t="s">
        <v>155</v>
      </c>
      <c r="E63" s="4" t="s">
        <v>154</v>
      </c>
      <c r="F63">
        <v>4</v>
      </c>
      <c r="H63" s="14">
        <v>70</v>
      </c>
      <c r="I63" s="14">
        <v>52.5</v>
      </c>
      <c r="J63" s="14">
        <f t="shared" si="4"/>
        <v>420</v>
      </c>
      <c r="K63" s="14">
        <f t="shared" si="10"/>
        <v>0</v>
      </c>
      <c r="L63" s="14">
        <v>175</v>
      </c>
      <c r="M63" s="10">
        <f t="shared" si="11"/>
        <v>717.5</v>
      </c>
      <c r="N63" s="5" t="s">
        <v>19</v>
      </c>
    </row>
    <row r="64" spans="1:14" x14ac:dyDescent="0.3">
      <c r="A64" s="15" t="s">
        <v>62</v>
      </c>
      <c r="B64" s="3">
        <v>45957</v>
      </c>
      <c r="C64" t="s">
        <v>153</v>
      </c>
      <c r="D64" t="s">
        <v>155</v>
      </c>
      <c r="E64" s="4" t="s">
        <v>154</v>
      </c>
      <c r="F64">
        <v>4</v>
      </c>
      <c r="H64" s="14">
        <v>70</v>
      </c>
      <c r="I64" s="14">
        <v>52.5</v>
      </c>
      <c r="J64" s="14">
        <f t="shared" si="4"/>
        <v>420</v>
      </c>
      <c r="K64" s="14">
        <f t="shared" si="10"/>
        <v>0</v>
      </c>
      <c r="L64" s="14">
        <v>0</v>
      </c>
      <c r="M64" s="10">
        <f t="shared" si="11"/>
        <v>542.5</v>
      </c>
      <c r="N64" s="5" t="s">
        <v>19</v>
      </c>
    </row>
    <row r="65" spans="1:15" x14ac:dyDescent="0.3">
      <c r="A65" t="s">
        <v>158</v>
      </c>
      <c r="B65" s="3">
        <v>45954</v>
      </c>
      <c r="C65" t="s">
        <v>157</v>
      </c>
      <c r="D65" t="s">
        <v>156</v>
      </c>
      <c r="E65" s="4" t="s">
        <v>159</v>
      </c>
      <c r="F65">
        <v>3</v>
      </c>
      <c r="H65" s="14">
        <v>52.5</v>
      </c>
      <c r="I65" s="14">
        <v>52.5</v>
      </c>
      <c r="J65" s="14">
        <f t="shared" si="4"/>
        <v>315</v>
      </c>
      <c r="K65" s="14">
        <f t="shared" si="10"/>
        <v>0</v>
      </c>
      <c r="L65" s="14">
        <v>0</v>
      </c>
      <c r="M65" s="14">
        <f t="shared" si="11"/>
        <v>420</v>
      </c>
      <c r="N65" s="5" t="s">
        <v>19</v>
      </c>
    </row>
    <row r="66" spans="1:15" x14ac:dyDescent="0.3">
      <c r="A66" t="s">
        <v>160</v>
      </c>
      <c r="B66" s="3">
        <v>45957</v>
      </c>
      <c r="C66" t="s">
        <v>18</v>
      </c>
      <c r="D66" t="s">
        <v>161</v>
      </c>
      <c r="E66" s="4" t="s">
        <v>162</v>
      </c>
      <c r="F66">
        <v>4</v>
      </c>
      <c r="G66">
        <v>1</v>
      </c>
      <c r="H66" s="14">
        <v>0</v>
      </c>
      <c r="I66" s="14">
        <v>0</v>
      </c>
      <c r="J66" s="14">
        <f t="shared" si="4"/>
        <v>420</v>
      </c>
      <c r="K66" s="14">
        <f t="shared" si="10"/>
        <v>140</v>
      </c>
      <c r="L66" s="14">
        <v>0</v>
      </c>
      <c r="M66" s="14">
        <f t="shared" si="11"/>
        <v>560</v>
      </c>
      <c r="N66" s="5" t="s">
        <v>19</v>
      </c>
    </row>
    <row r="67" spans="1:15" x14ac:dyDescent="0.3">
      <c r="A67" t="s">
        <v>15</v>
      </c>
      <c r="B67" s="3">
        <v>45957</v>
      </c>
      <c r="C67" t="s">
        <v>164</v>
      </c>
      <c r="D67" t="s">
        <v>163</v>
      </c>
      <c r="E67" s="4" t="s">
        <v>165</v>
      </c>
      <c r="F67">
        <v>6</v>
      </c>
      <c r="G67">
        <v>1</v>
      </c>
      <c r="H67" s="14">
        <v>0</v>
      </c>
      <c r="I67" s="14">
        <v>0</v>
      </c>
      <c r="J67" s="14">
        <f t="shared" si="4"/>
        <v>630</v>
      </c>
      <c r="K67" s="14">
        <f t="shared" si="10"/>
        <v>140</v>
      </c>
      <c r="L67" s="14">
        <v>0</v>
      </c>
      <c r="M67" s="14">
        <f t="shared" si="11"/>
        <v>770</v>
      </c>
      <c r="N67" s="5" t="s">
        <v>19</v>
      </c>
    </row>
    <row r="68" spans="1:15" x14ac:dyDescent="0.3">
      <c r="A68" t="s">
        <v>15</v>
      </c>
      <c r="B68" s="3">
        <v>45957</v>
      </c>
      <c r="C68" t="s">
        <v>173</v>
      </c>
      <c r="D68" t="s">
        <v>100</v>
      </c>
      <c r="E68" t="s">
        <v>174</v>
      </c>
      <c r="F68">
        <v>3</v>
      </c>
      <c r="H68" s="14">
        <v>52.5</v>
      </c>
      <c r="I68" s="14">
        <v>0</v>
      </c>
      <c r="J68" s="14">
        <f>F68*105</f>
        <v>315</v>
      </c>
      <c r="K68" s="14">
        <f t="shared" si="10"/>
        <v>0</v>
      </c>
      <c r="L68" s="14">
        <v>0</v>
      </c>
      <c r="M68" s="14">
        <f t="shared" si="11"/>
        <v>367.5</v>
      </c>
      <c r="N68" s="5" t="s">
        <v>19</v>
      </c>
      <c r="O68" t="s">
        <v>166</v>
      </c>
    </row>
    <row r="69" spans="1:15" x14ac:dyDescent="0.3">
      <c r="A69" t="s">
        <v>167</v>
      </c>
      <c r="B69" s="3">
        <v>45957</v>
      </c>
      <c r="C69" t="s">
        <v>168</v>
      </c>
      <c r="D69" t="s">
        <v>138</v>
      </c>
      <c r="E69" s="4" t="s">
        <v>138</v>
      </c>
      <c r="G69">
        <v>2</v>
      </c>
      <c r="H69" s="14">
        <v>0</v>
      </c>
      <c r="I69" s="14">
        <v>0</v>
      </c>
      <c r="J69" s="14">
        <f t="shared" ref="J69:J80" si="12">F69*105</f>
        <v>0</v>
      </c>
      <c r="K69" s="14">
        <f t="shared" ref="K69:K80" si="13">G69*140</f>
        <v>280</v>
      </c>
      <c r="L69" s="14">
        <v>0</v>
      </c>
      <c r="M69" s="14">
        <f t="shared" ref="M69:M80" si="14">SUM(H69:L69)</f>
        <v>280</v>
      </c>
      <c r="N69" s="5" t="s">
        <v>19</v>
      </c>
    </row>
    <row r="70" spans="1:15" x14ac:dyDescent="0.3">
      <c r="A70" s="16" t="s">
        <v>169</v>
      </c>
      <c r="B70" s="18">
        <v>45958</v>
      </c>
      <c r="C70" s="16" t="s">
        <v>18</v>
      </c>
      <c r="D70" s="16" t="s">
        <v>172</v>
      </c>
      <c r="E70" s="19" t="s">
        <v>171</v>
      </c>
      <c r="F70" s="16">
        <v>3</v>
      </c>
      <c r="G70" s="16"/>
      <c r="H70" s="17">
        <v>70</v>
      </c>
      <c r="I70" s="17">
        <v>52.5</v>
      </c>
      <c r="J70" s="17">
        <f t="shared" si="12"/>
        <v>315</v>
      </c>
      <c r="K70" s="17">
        <f t="shared" si="13"/>
        <v>0</v>
      </c>
      <c r="L70" s="17">
        <v>0</v>
      </c>
      <c r="M70" s="17">
        <f t="shared" si="14"/>
        <v>437.5</v>
      </c>
      <c r="N70" s="5" t="s">
        <v>19</v>
      </c>
      <c r="O70" t="s">
        <v>193</v>
      </c>
    </row>
    <row r="71" spans="1:15" x14ac:dyDescent="0.3">
      <c r="A71" s="16" t="s">
        <v>170</v>
      </c>
      <c r="B71" s="18">
        <v>45958</v>
      </c>
      <c r="C71" s="16" t="s">
        <v>18</v>
      </c>
      <c r="D71" s="16" t="s">
        <v>172</v>
      </c>
      <c r="E71" s="19" t="s">
        <v>171</v>
      </c>
      <c r="F71" s="16">
        <v>3</v>
      </c>
      <c r="G71" s="16"/>
      <c r="H71" s="17">
        <v>70</v>
      </c>
      <c r="I71" s="17">
        <v>52.5</v>
      </c>
      <c r="J71" s="17">
        <f t="shared" si="12"/>
        <v>315</v>
      </c>
      <c r="K71" s="17">
        <f t="shared" si="13"/>
        <v>0</v>
      </c>
      <c r="L71" s="17">
        <v>0</v>
      </c>
      <c r="M71" s="17">
        <f t="shared" si="14"/>
        <v>437.5</v>
      </c>
      <c r="N71" s="5" t="s">
        <v>19</v>
      </c>
      <c r="O71" t="s">
        <v>193</v>
      </c>
    </row>
    <row r="72" spans="1:15" x14ac:dyDescent="0.3">
      <c r="A72" t="s">
        <v>177</v>
      </c>
      <c r="B72" s="3">
        <v>45958</v>
      </c>
      <c r="C72" t="s">
        <v>18</v>
      </c>
      <c r="D72" t="s">
        <v>175</v>
      </c>
      <c r="E72" s="4" t="s">
        <v>176</v>
      </c>
      <c r="F72">
        <v>2</v>
      </c>
      <c r="H72" s="14">
        <v>0</v>
      </c>
      <c r="I72" s="14">
        <v>0</v>
      </c>
      <c r="J72" s="14">
        <f t="shared" si="12"/>
        <v>210</v>
      </c>
      <c r="K72" s="14">
        <f t="shared" si="13"/>
        <v>0</v>
      </c>
      <c r="L72" s="14">
        <v>35</v>
      </c>
      <c r="M72" s="14">
        <f t="shared" si="14"/>
        <v>245</v>
      </c>
      <c r="N72" s="5" t="s">
        <v>19</v>
      </c>
    </row>
    <row r="73" spans="1:15" x14ac:dyDescent="0.3">
      <c r="A73" t="s">
        <v>180</v>
      </c>
      <c r="B73" s="3">
        <v>45958</v>
      </c>
      <c r="C73" t="s">
        <v>18</v>
      </c>
      <c r="D73" s="9" t="s">
        <v>178</v>
      </c>
      <c r="E73" s="4" t="s">
        <v>179</v>
      </c>
      <c r="F73">
        <v>2</v>
      </c>
      <c r="H73" s="14">
        <v>0</v>
      </c>
      <c r="I73" s="14">
        <v>0</v>
      </c>
      <c r="J73" s="14">
        <f t="shared" si="12"/>
        <v>210</v>
      </c>
      <c r="K73" s="14">
        <f t="shared" si="13"/>
        <v>0</v>
      </c>
      <c r="L73" s="14">
        <v>0</v>
      </c>
      <c r="M73" s="14">
        <f t="shared" si="14"/>
        <v>210</v>
      </c>
      <c r="N73" s="5" t="s">
        <v>19</v>
      </c>
    </row>
    <row r="74" spans="1:15" x14ac:dyDescent="0.3">
      <c r="A74" t="s">
        <v>182</v>
      </c>
      <c r="B74" s="3">
        <v>45964</v>
      </c>
      <c r="C74" t="s">
        <v>56</v>
      </c>
      <c r="D74" t="s">
        <v>183</v>
      </c>
      <c r="E74" s="4" t="s">
        <v>165</v>
      </c>
      <c r="F74">
        <v>3</v>
      </c>
      <c r="H74" s="14">
        <v>0</v>
      </c>
      <c r="I74" s="14">
        <v>52.5</v>
      </c>
      <c r="J74" s="14">
        <f t="shared" si="12"/>
        <v>315</v>
      </c>
      <c r="K74" s="14">
        <f t="shared" si="13"/>
        <v>0</v>
      </c>
      <c r="L74" s="14">
        <v>105</v>
      </c>
      <c r="M74" s="14">
        <f t="shared" si="14"/>
        <v>472.5</v>
      </c>
      <c r="N74" s="5" t="s">
        <v>19</v>
      </c>
    </row>
    <row r="75" spans="1:15" x14ac:dyDescent="0.3">
      <c r="A75" t="s">
        <v>182</v>
      </c>
      <c r="B75" s="3">
        <v>45964</v>
      </c>
      <c r="C75" t="s">
        <v>75</v>
      </c>
      <c r="D75" t="s">
        <v>184</v>
      </c>
      <c r="E75" s="4" t="s">
        <v>185</v>
      </c>
      <c r="F75">
        <v>3</v>
      </c>
      <c r="H75" s="14">
        <v>0</v>
      </c>
      <c r="I75" s="14">
        <v>0</v>
      </c>
      <c r="J75" s="14">
        <f t="shared" si="12"/>
        <v>315</v>
      </c>
      <c r="K75" s="14">
        <f t="shared" si="13"/>
        <v>0</v>
      </c>
      <c r="L75" s="14">
        <v>105</v>
      </c>
      <c r="M75" s="14">
        <f t="shared" si="14"/>
        <v>420</v>
      </c>
      <c r="N75" s="5" t="s">
        <v>19</v>
      </c>
    </row>
    <row r="76" spans="1:15" x14ac:dyDescent="0.3">
      <c r="A76" t="s">
        <v>182</v>
      </c>
      <c r="B76" s="3">
        <v>45974</v>
      </c>
      <c r="C76" t="s">
        <v>195</v>
      </c>
      <c r="D76" s="9" t="s">
        <v>210</v>
      </c>
      <c r="E76" s="4" t="s">
        <v>211</v>
      </c>
      <c r="F76">
        <v>2</v>
      </c>
      <c r="H76" s="14">
        <v>0</v>
      </c>
      <c r="I76" s="14">
        <v>0</v>
      </c>
      <c r="J76" s="14">
        <f>F76*105</f>
        <v>210</v>
      </c>
      <c r="K76" s="14">
        <f t="shared" si="13"/>
        <v>0</v>
      </c>
      <c r="L76" s="14">
        <v>70</v>
      </c>
      <c r="M76" s="14">
        <f t="shared" si="14"/>
        <v>280</v>
      </c>
      <c r="N76" s="5"/>
    </row>
    <row r="77" spans="1:15" s="21" customFormat="1" x14ac:dyDescent="0.3">
      <c r="A77" t="s">
        <v>64</v>
      </c>
      <c r="B77" s="3">
        <v>45965</v>
      </c>
      <c r="C77" t="s">
        <v>56</v>
      </c>
      <c r="D77" t="s">
        <v>187</v>
      </c>
      <c r="E77" s="4" t="s">
        <v>188</v>
      </c>
      <c r="F77">
        <v>2</v>
      </c>
      <c r="G77"/>
      <c r="H77" s="14">
        <v>52.5</v>
      </c>
      <c r="I77" s="14">
        <v>52.5</v>
      </c>
      <c r="J77" s="14">
        <f t="shared" si="12"/>
        <v>210</v>
      </c>
      <c r="K77" s="14">
        <f t="shared" si="13"/>
        <v>0</v>
      </c>
      <c r="L77" s="14">
        <v>0</v>
      </c>
      <c r="M77" s="20">
        <f t="shared" si="14"/>
        <v>315</v>
      </c>
      <c r="N77" s="5" t="s">
        <v>19</v>
      </c>
    </row>
    <row r="78" spans="1:15" s="21" customFormat="1" x14ac:dyDescent="0.3">
      <c r="A78" t="s">
        <v>64</v>
      </c>
      <c r="B78" s="3">
        <v>45965</v>
      </c>
      <c r="C78" t="s">
        <v>75</v>
      </c>
      <c r="D78" t="s">
        <v>189</v>
      </c>
      <c r="E78" s="4" t="s">
        <v>190</v>
      </c>
      <c r="F78">
        <v>3</v>
      </c>
      <c r="G78"/>
      <c r="H78" s="14">
        <v>0</v>
      </c>
      <c r="I78" s="14">
        <v>0</v>
      </c>
      <c r="J78" s="14">
        <f t="shared" si="12"/>
        <v>315</v>
      </c>
      <c r="K78" s="14">
        <f t="shared" si="13"/>
        <v>0</v>
      </c>
      <c r="L78" s="14">
        <v>0</v>
      </c>
      <c r="M78" s="20">
        <f t="shared" si="14"/>
        <v>315</v>
      </c>
      <c r="N78" s="5" t="s">
        <v>19</v>
      </c>
    </row>
    <row r="79" spans="1:15" s="22" customFormat="1" x14ac:dyDescent="0.3">
      <c r="A79" t="s">
        <v>186</v>
      </c>
      <c r="B79" s="3">
        <v>45965</v>
      </c>
      <c r="C79" t="s">
        <v>56</v>
      </c>
      <c r="D79" t="s">
        <v>183</v>
      </c>
      <c r="E79" s="4" t="s">
        <v>192</v>
      </c>
      <c r="F79">
        <v>2</v>
      </c>
      <c r="G79"/>
      <c r="H79" s="14">
        <v>52.5</v>
      </c>
      <c r="I79" s="14">
        <v>52.5</v>
      </c>
      <c r="J79" s="14">
        <f t="shared" si="12"/>
        <v>210</v>
      </c>
      <c r="K79" s="14">
        <f t="shared" si="13"/>
        <v>0</v>
      </c>
      <c r="L79" s="14">
        <v>0</v>
      </c>
      <c r="M79" s="20">
        <f t="shared" si="14"/>
        <v>315</v>
      </c>
      <c r="N79" s="5" t="s">
        <v>19</v>
      </c>
    </row>
    <row r="80" spans="1:15" s="22" customFormat="1" x14ac:dyDescent="0.3">
      <c r="A80" t="s">
        <v>186</v>
      </c>
      <c r="B80" s="3">
        <v>45965</v>
      </c>
      <c r="C80" t="s">
        <v>75</v>
      </c>
      <c r="D80" t="s">
        <v>184</v>
      </c>
      <c r="E80" s="4" t="s">
        <v>191</v>
      </c>
      <c r="F80">
        <v>3</v>
      </c>
      <c r="G80"/>
      <c r="H80" s="14">
        <v>0</v>
      </c>
      <c r="I80" s="14">
        <v>0</v>
      </c>
      <c r="J80" s="14">
        <f t="shared" si="12"/>
        <v>315</v>
      </c>
      <c r="K80" s="14">
        <f t="shared" si="13"/>
        <v>0</v>
      </c>
      <c r="L80" s="14">
        <v>0</v>
      </c>
      <c r="M80" s="20">
        <f t="shared" si="14"/>
        <v>315</v>
      </c>
      <c r="N80" s="5" t="s">
        <v>19</v>
      </c>
    </row>
    <row r="81" spans="1:15" x14ac:dyDescent="0.3">
      <c r="A81" t="s">
        <v>169</v>
      </c>
      <c r="B81" s="3">
        <v>45965</v>
      </c>
      <c r="C81" t="s">
        <v>18</v>
      </c>
      <c r="D81" t="s">
        <v>172</v>
      </c>
      <c r="E81" s="4" t="s">
        <v>171</v>
      </c>
      <c r="F81">
        <v>3</v>
      </c>
      <c r="H81" s="14">
        <v>70</v>
      </c>
      <c r="I81" s="14">
        <v>52.5</v>
      </c>
      <c r="J81" s="14">
        <f t="shared" ref="J81:J96" si="15">F81*105</f>
        <v>315</v>
      </c>
      <c r="K81" s="14">
        <f t="shared" ref="K81:K96" si="16">G81*140</f>
        <v>0</v>
      </c>
      <c r="L81" s="14">
        <v>140</v>
      </c>
      <c r="M81" s="20">
        <f t="shared" ref="M81:M96" si="17">SUM(H81:L81)</f>
        <v>577.5</v>
      </c>
      <c r="N81" s="5" t="s">
        <v>19</v>
      </c>
    </row>
    <row r="82" spans="1:15" x14ac:dyDescent="0.3">
      <c r="A82" t="s">
        <v>170</v>
      </c>
      <c r="B82" s="3">
        <v>45965</v>
      </c>
      <c r="C82" t="s">
        <v>18</v>
      </c>
      <c r="D82" t="s">
        <v>172</v>
      </c>
      <c r="E82" s="4" t="s">
        <v>171</v>
      </c>
      <c r="F82">
        <v>3</v>
      </c>
      <c r="H82" s="14">
        <v>70</v>
      </c>
      <c r="I82" s="14">
        <v>52.5</v>
      </c>
      <c r="J82" s="14">
        <f t="shared" si="15"/>
        <v>315</v>
      </c>
      <c r="K82" s="14">
        <f t="shared" si="16"/>
        <v>0</v>
      </c>
      <c r="L82" s="14">
        <v>140</v>
      </c>
      <c r="M82" s="20">
        <f t="shared" si="17"/>
        <v>577.5</v>
      </c>
      <c r="N82" s="5" t="s">
        <v>19</v>
      </c>
      <c r="O82" t="s">
        <v>194</v>
      </c>
    </row>
    <row r="83" spans="1:15" x14ac:dyDescent="0.3">
      <c r="A83" t="s">
        <v>50</v>
      </c>
      <c r="B83" s="3">
        <v>45965</v>
      </c>
      <c r="C83" t="s">
        <v>195</v>
      </c>
      <c r="D83" t="s">
        <v>196</v>
      </c>
      <c r="E83" s="4" t="s">
        <v>197</v>
      </c>
      <c r="F83">
        <v>1</v>
      </c>
      <c r="H83" s="14">
        <v>52.5</v>
      </c>
      <c r="I83" s="14">
        <v>0</v>
      </c>
      <c r="J83" s="14">
        <f t="shared" si="15"/>
        <v>105</v>
      </c>
      <c r="K83" s="14">
        <f t="shared" si="16"/>
        <v>0</v>
      </c>
      <c r="L83" s="14">
        <v>35</v>
      </c>
      <c r="M83" s="20">
        <f t="shared" si="17"/>
        <v>192.5</v>
      </c>
      <c r="N83" s="5" t="s">
        <v>19</v>
      </c>
    </row>
    <row r="84" spans="1:15" x14ac:dyDescent="0.3">
      <c r="A84" t="s">
        <v>180</v>
      </c>
      <c r="B84" s="3">
        <v>45967</v>
      </c>
      <c r="C84" t="s">
        <v>195</v>
      </c>
      <c r="D84" t="s">
        <v>201</v>
      </c>
      <c r="E84" s="4" t="s">
        <v>212</v>
      </c>
      <c r="F84">
        <v>5</v>
      </c>
      <c r="H84" s="14">
        <v>70</v>
      </c>
      <c r="I84" s="14" t="s">
        <v>202</v>
      </c>
      <c r="J84" s="14">
        <f t="shared" si="15"/>
        <v>525</v>
      </c>
      <c r="K84" s="14">
        <f t="shared" si="16"/>
        <v>0</v>
      </c>
      <c r="L84" s="14">
        <v>0</v>
      </c>
      <c r="M84" s="20">
        <f t="shared" si="17"/>
        <v>595</v>
      </c>
      <c r="N84" s="5" t="s">
        <v>19</v>
      </c>
    </row>
    <row r="85" spans="1:15" x14ac:dyDescent="0.3">
      <c r="A85" t="s">
        <v>198</v>
      </c>
      <c r="B85" s="3">
        <v>45967</v>
      </c>
      <c r="C85" t="s">
        <v>195</v>
      </c>
      <c r="D85" t="s">
        <v>199</v>
      </c>
      <c r="E85" s="4" t="s">
        <v>200</v>
      </c>
      <c r="F85">
        <v>4</v>
      </c>
      <c r="H85" s="14">
        <v>70</v>
      </c>
      <c r="I85" s="14">
        <v>52.5</v>
      </c>
      <c r="J85" s="14">
        <f t="shared" si="15"/>
        <v>420</v>
      </c>
      <c r="K85" s="14">
        <f t="shared" si="16"/>
        <v>0</v>
      </c>
      <c r="L85" s="14">
        <v>0</v>
      </c>
      <c r="M85" s="20">
        <f t="shared" si="17"/>
        <v>542.5</v>
      </c>
      <c r="N85" s="5" t="s">
        <v>19</v>
      </c>
    </row>
    <row r="86" spans="1:15" x14ac:dyDescent="0.3">
      <c r="A86" t="s">
        <v>38</v>
      </c>
      <c r="B86" s="3">
        <v>45972</v>
      </c>
      <c r="C86" t="s">
        <v>209</v>
      </c>
      <c r="D86" t="s">
        <v>204</v>
      </c>
      <c r="E86" s="4" t="s">
        <v>203</v>
      </c>
      <c r="F86">
        <v>3</v>
      </c>
      <c r="G86">
        <v>2</v>
      </c>
      <c r="H86" s="14">
        <v>52.5</v>
      </c>
      <c r="I86" s="14">
        <v>0</v>
      </c>
      <c r="J86" s="14">
        <f t="shared" si="15"/>
        <v>315</v>
      </c>
      <c r="K86" s="14">
        <f t="shared" si="16"/>
        <v>280</v>
      </c>
      <c r="L86" s="14">
        <v>0</v>
      </c>
      <c r="M86" s="20">
        <f t="shared" si="17"/>
        <v>647.5</v>
      </c>
      <c r="N86" s="5" t="s">
        <v>19</v>
      </c>
    </row>
    <row r="87" spans="1:15" x14ac:dyDescent="0.3">
      <c r="A87" t="s">
        <v>205</v>
      </c>
      <c r="B87" s="3">
        <v>45971</v>
      </c>
      <c r="C87" t="s">
        <v>206</v>
      </c>
      <c r="D87" t="s">
        <v>207</v>
      </c>
      <c r="E87" s="4" t="s">
        <v>208</v>
      </c>
      <c r="F87">
        <v>2</v>
      </c>
      <c r="H87" s="14">
        <v>0</v>
      </c>
      <c r="I87" s="14">
        <v>0</v>
      </c>
      <c r="J87" s="14">
        <f t="shared" si="15"/>
        <v>210</v>
      </c>
      <c r="K87" s="14">
        <f t="shared" si="16"/>
        <v>0</v>
      </c>
      <c r="L87" s="14">
        <v>0</v>
      </c>
      <c r="M87" s="20">
        <f t="shared" si="17"/>
        <v>210</v>
      </c>
      <c r="N87" s="5" t="s">
        <v>19</v>
      </c>
    </row>
    <row r="88" spans="1:15" x14ac:dyDescent="0.3">
      <c r="A88" t="s">
        <v>64</v>
      </c>
      <c r="B88" s="3">
        <v>45978</v>
      </c>
      <c r="C88" t="s">
        <v>136</v>
      </c>
      <c r="D88" t="s">
        <v>213</v>
      </c>
      <c r="E88" s="4" t="s">
        <v>218</v>
      </c>
      <c r="F88">
        <v>6</v>
      </c>
      <c r="G88">
        <v>3</v>
      </c>
      <c r="H88" s="14">
        <v>0</v>
      </c>
      <c r="I88" s="14">
        <v>0</v>
      </c>
      <c r="J88" s="14">
        <f t="shared" si="15"/>
        <v>630</v>
      </c>
      <c r="K88" s="14">
        <f t="shared" si="16"/>
        <v>420</v>
      </c>
      <c r="L88" s="14">
        <v>315</v>
      </c>
      <c r="M88" s="20">
        <f t="shared" si="17"/>
        <v>1365</v>
      </c>
      <c r="N88" s="5" t="s">
        <v>19</v>
      </c>
    </row>
    <row r="89" spans="1:15" x14ac:dyDescent="0.3">
      <c r="A89" t="s">
        <v>214</v>
      </c>
      <c r="B89" s="3">
        <v>45978</v>
      </c>
      <c r="C89" t="s">
        <v>7</v>
      </c>
      <c r="D89" t="s">
        <v>216</v>
      </c>
      <c r="E89" s="4" t="s">
        <v>217</v>
      </c>
      <c r="F89">
        <v>3</v>
      </c>
      <c r="G89">
        <v>2</v>
      </c>
      <c r="H89" s="14">
        <v>0</v>
      </c>
      <c r="I89" s="14">
        <v>0</v>
      </c>
      <c r="J89" s="14">
        <f t="shared" si="15"/>
        <v>315</v>
      </c>
      <c r="K89" s="14">
        <f t="shared" si="16"/>
        <v>280</v>
      </c>
      <c r="L89" s="14">
        <v>35</v>
      </c>
      <c r="M89" s="20">
        <f t="shared" si="17"/>
        <v>630</v>
      </c>
      <c r="N89" s="5" t="s">
        <v>19</v>
      </c>
    </row>
    <row r="90" spans="1:15" x14ac:dyDescent="0.3">
      <c r="A90" t="s">
        <v>215</v>
      </c>
      <c r="B90" s="3">
        <v>45978</v>
      </c>
      <c r="C90" t="s">
        <v>7</v>
      </c>
      <c r="D90" t="s">
        <v>216</v>
      </c>
      <c r="E90" s="4" t="s">
        <v>217</v>
      </c>
      <c r="F90">
        <v>3</v>
      </c>
      <c r="G90">
        <v>2</v>
      </c>
      <c r="H90" s="14">
        <v>0</v>
      </c>
      <c r="I90" s="14">
        <v>0</v>
      </c>
      <c r="J90" s="14">
        <f t="shared" si="15"/>
        <v>315</v>
      </c>
      <c r="K90" s="14">
        <f>G90*140</f>
        <v>280</v>
      </c>
      <c r="L90" s="14">
        <v>35</v>
      </c>
      <c r="M90" s="20">
        <f t="shared" si="17"/>
        <v>630</v>
      </c>
      <c r="N90" s="5" t="s">
        <v>19</v>
      </c>
    </row>
    <row r="91" spans="1:15" x14ac:dyDescent="0.3">
      <c r="A91" s="15" t="s">
        <v>130</v>
      </c>
      <c r="B91" s="24">
        <v>45978</v>
      </c>
      <c r="C91" s="15" t="s">
        <v>18</v>
      </c>
      <c r="D91" s="15" t="s">
        <v>221</v>
      </c>
      <c r="E91" s="15" t="s">
        <v>262</v>
      </c>
      <c r="F91" s="15">
        <v>3</v>
      </c>
      <c r="G91" s="15">
        <v>2</v>
      </c>
      <c r="H91" s="10">
        <v>0</v>
      </c>
      <c r="I91" s="10">
        <v>0</v>
      </c>
      <c r="J91" s="10">
        <f t="shared" si="15"/>
        <v>315</v>
      </c>
      <c r="K91" s="10">
        <f t="shared" si="16"/>
        <v>280</v>
      </c>
      <c r="L91" s="10">
        <v>35</v>
      </c>
      <c r="M91" s="20">
        <f t="shared" si="17"/>
        <v>630</v>
      </c>
      <c r="N91" s="5" t="s">
        <v>19</v>
      </c>
    </row>
    <row r="92" spans="1:15" x14ac:dyDescent="0.3">
      <c r="A92" s="15" t="s">
        <v>219</v>
      </c>
      <c r="B92" s="24">
        <v>45978</v>
      </c>
      <c r="C92" s="15" t="s">
        <v>18</v>
      </c>
      <c r="D92" s="15" t="s">
        <v>221</v>
      </c>
      <c r="E92" s="23" t="s">
        <v>222</v>
      </c>
      <c r="F92" s="15">
        <v>3</v>
      </c>
      <c r="G92" s="15">
        <v>2</v>
      </c>
      <c r="H92" s="10">
        <v>0</v>
      </c>
      <c r="I92" s="10">
        <v>0</v>
      </c>
      <c r="J92" s="10">
        <f t="shared" si="15"/>
        <v>315</v>
      </c>
      <c r="K92" s="10">
        <f t="shared" si="16"/>
        <v>280</v>
      </c>
      <c r="L92" s="10">
        <v>35</v>
      </c>
      <c r="M92" s="20">
        <f t="shared" si="17"/>
        <v>630</v>
      </c>
      <c r="N92" s="5" t="s">
        <v>19</v>
      </c>
    </row>
    <row r="93" spans="1:15" x14ac:dyDescent="0.3">
      <c r="A93" s="15" t="s">
        <v>220</v>
      </c>
      <c r="B93" s="24">
        <v>45978</v>
      </c>
      <c r="C93" s="15" t="s">
        <v>18</v>
      </c>
      <c r="D93" s="15" t="s">
        <v>221</v>
      </c>
      <c r="E93" s="23" t="s">
        <v>222</v>
      </c>
      <c r="F93" s="15">
        <v>3</v>
      </c>
      <c r="G93" s="15">
        <v>2</v>
      </c>
      <c r="H93" s="10">
        <v>0</v>
      </c>
      <c r="I93" s="10">
        <v>0</v>
      </c>
      <c r="J93" s="10">
        <f t="shared" si="15"/>
        <v>315</v>
      </c>
      <c r="K93" s="10">
        <f t="shared" si="16"/>
        <v>280</v>
      </c>
      <c r="L93" s="10">
        <v>35</v>
      </c>
      <c r="M93" s="20">
        <f t="shared" si="17"/>
        <v>630</v>
      </c>
      <c r="N93" s="5" t="s">
        <v>19</v>
      </c>
    </row>
    <row r="94" spans="1:15" x14ac:dyDescent="0.3">
      <c r="A94" t="s">
        <v>223</v>
      </c>
      <c r="B94" s="3">
        <v>45979</v>
      </c>
      <c r="C94" t="s">
        <v>136</v>
      </c>
      <c r="D94" t="s">
        <v>225</v>
      </c>
      <c r="E94" t="s">
        <v>226</v>
      </c>
      <c r="F94">
        <v>5</v>
      </c>
      <c r="G94">
        <v>1</v>
      </c>
      <c r="H94" s="14">
        <v>70</v>
      </c>
      <c r="I94" s="14">
        <v>0</v>
      </c>
      <c r="J94" s="14">
        <f t="shared" si="15"/>
        <v>525</v>
      </c>
      <c r="K94" s="14">
        <f t="shared" si="16"/>
        <v>140</v>
      </c>
      <c r="L94" s="14">
        <v>35</v>
      </c>
      <c r="M94" s="20">
        <f t="shared" si="17"/>
        <v>770</v>
      </c>
      <c r="N94" s="5" t="s">
        <v>19</v>
      </c>
    </row>
    <row r="95" spans="1:15" x14ac:dyDescent="0.3">
      <c r="A95" t="s">
        <v>224</v>
      </c>
      <c r="B95" s="3">
        <v>45979</v>
      </c>
      <c r="C95" t="s">
        <v>136</v>
      </c>
      <c r="D95" t="s">
        <v>227</v>
      </c>
      <c r="E95" t="s">
        <v>228</v>
      </c>
      <c r="F95">
        <v>5</v>
      </c>
      <c r="G95">
        <v>1</v>
      </c>
      <c r="H95" s="14">
        <v>70</v>
      </c>
      <c r="I95" s="14">
        <v>0</v>
      </c>
      <c r="J95" s="14">
        <f t="shared" si="15"/>
        <v>525</v>
      </c>
      <c r="K95" s="14">
        <f t="shared" si="16"/>
        <v>140</v>
      </c>
      <c r="L95" s="14">
        <v>35</v>
      </c>
      <c r="M95" s="20">
        <f t="shared" si="17"/>
        <v>770</v>
      </c>
      <c r="N95" s="5" t="s">
        <v>19</v>
      </c>
    </row>
    <row r="96" spans="1:15" x14ac:dyDescent="0.3">
      <c r="A96" t="s">
        <v>229</v>
      </c>
      <c r="B96" s="3">
        <v>45979</v>
      </c>
      <c r="C96" t="s">
        <v>136</v>
      </c>
      <c r="D96" t="s">
        <v>232</v>
      </c>
      <c r="E96" t="s">
        <v>212</v>
      </c>
      <c r="F96">
        <v>5</v>
      </c>
      <c r="H96" s="14">
        <v>70</v>
      </c>
      <c r="I96" s="14">
        <v>70</v>
      </c>
      <c r="J96" s="14">
        <f t="shared" si="15"/>
        <v>525</v>
      </c>
      <c r="K96" s="14">
        <f t="shared" si="16"/>
        <v>0</v>
      </c>
      <c r="L96" s="14">
        <v>0</v>
      </c>
      <c r="M96" s="20">
        <f t="shared" si="17"/>
        <v>665</v>
      </c>
      <c r="N96" s="5" t="s">
        <v>19</v>
      </c>
    </row>
    <row r="97" spans="1:14" x14ac:dyDescent="0.3">
      <c r="A97" t="s">
        <v>230</v>
      </c>
      <c r="B97" s="3">
        <v>45979</v>
      </c>
      <c r="C97" t="s">
        <v>136</v>
      </c>
      <c r="D97" t="s">
        <v>231</v>
      </c>
      <c r="E97" t="s">
        <v>212</v>
      </c>
      <c r="F97">
        <v>5</v>
      </c>
      <c r="H97" s="14">
        <v>70</v>
      </c>
      <c r="I97" s="14">
        <v>70</v>
      </c>
      <c r="J97" s="14">
        <f t="shared" ref="J97:J126" si="18">F97*105</f>
        <v>525</v>
      </c>
      <c r="K97" s="14">
        <f t="shared" ref="K97:K126" si="19">G97*140</f>
        <v>0</v>
      </c>
      <c r="L97" s="14">
        <v>0</v>
      </c>
      <c r="M97" s="20">
        <f t="shared" ref="M97:M126" si="20">SUM(H97:L97)</f>
        <v>665</v>
      </c>
      <c r="N97" s="5" t="s">
        <v>19</v>
      </c>
    </row>
    <row r="98" spans="1:14" x14ac:dyDescent="0.3">
      <c r="A98" t="s">
        <v>64</v>
      </c>
      <c r="B98" s="3">
        <v>45980</v>
      </c>
      <c r="C98" t="s">
        <v>56</v>
      </c>
      <c r="D98" t="s">
        <v>233</v>
      </c>
      <c r="E98" t="s">
        <v>234</v>
      </c>
      <c r="F98">
        <v>2</v>
      </c>
      <c r="H98" s="14">
        <v>0</v>
      </c>
      <c r="I98" s="14">
        <v>0</v>
      </c>
      <c r="J98" s="14">
        <f t="shared" si="18"/>
        <v>210</v>
      </c>
      <c r="K98" s="14">
        <f t="shared" si="19"/>
        <v>0</v>
      </c>
      <c r="L98" s="14">
        <v>35</v>
      </c>
      <c r="M98" s="20">
        <f t="shared" si="20"/>
        <v>245</v>
      </c>
      <c r="N98" s="5" t="s">
        <v>19</v>
      </c>
    </row>
    <row r="99" spans="1:14" x14ac:dyDescent="0.3">
      <c r="A99" t="s">
        <v>235</v>
      </c>
      <c r="B99" s="3">
        <v>45980</v>
      </c>
      <c r="C99" t="s">
        <v>136</v>
      </c>
      <c r="D99" t="s">
        <v>236</v>
      </c>
      <c r="E99" t="s">
        <v>237</v>
      </c>
      <c r="F99">
        <v>4</v>
      </c>
      <c r="G99">
        <v>1</v>
      </c>
      <c r="H99" s="14">
        <v>70</v>
      </c>
      <c r="I99" s="14">
        <v>0</v>
      </c>
      <c r="J99" s="14">
        <f t="shared" si="18"/>
        <v>420</v>
      </c>
      <c r="K99" s="14">
        <f t="shared" si="19"/>
        <v>140</v>
      </c>
      <c r="L99" s="14">
        <v>0</v>
      </c>
      <c r="M99" s="20">
        <f t="shared" si="20"/>
        <v>630</v>
      </c>
      <c r="N99" s="5" t="s">
        <v>19</v>
      </c>
    </row>
    <row r="100" spans="1:14" x14ac:dyDescent="0.3">
      <c r="A100" s="25" t="s">
        <v>62</v>
      </c>
      <c r="B100" s="28">
        <v>45980</v>
      </c>
      <c r="C100" s="25" t="s">
        <v>240</v>
      </c>
      <c r="D100" s="25" t="s">
        <v>241</v>
      </c>
      <c r="E100" s="25" t="s">
        <v>242</v>
      </c>
      <c r="F100" s="25">
        <v>2</v>
      </c>
      <c r="G100" s="25">
        <v>2</v>
      </c>
      <c r="H100" s="11">
        <v>0</v>
      </c>
      <c r="I100" s="11">
        <v>0</v>
      </c>
      <c r="J100" s="11">
        <f t="shared" si="18"/>
        <v>210</v>
      </c>
      <c r="K100" s="11">
        <f t="shared" si="19"/>
        <v>280</v>
      </c>
      <c r="L100" s="11">
        <v>0</v>
      </c>
      <c r="M100" s="20">
        <f t="shared" si="20"/>
        <v>490</v>
      </c>
      <c r="N100" s="5" t="s">
        <v>19</v>
      </c>
    </row>
    <row r="101" spans="1:14" x14ac:dyDescent="0.3">
      <c r="A101" s="25" t="s">
        <v>238</v>
      </c>
      <c r="B101" s="28">
        <v>45980</v>
      </c>
      <c r="C101" s="25" t="s">
        <v>240</v>
      </c>
      <c r="D101" s="25" t="s">
        <v>241</v>
      </c>
      <c r="E101" s="25" t="s">
        <v>242</v>
      </c>
      <c r="F101" s="25">
        <v>2</v>
      </c>
      <c r="G101" s="25">
        <v>2</v>
      </c>
      <c r="H101" s="11">
        <v>0</v>
      </c>
      <c r="I101" s="11">
        <v>0</v>
      </c>
      <c r="J101" s="11">
        <f t="shared" si="18"/>
        <v>210</v>
      </c>
      <c r="K101" s="11">
        <f t="shared" si="19"/>
        <v>280</v>
      </c>
      <c r="L101" s="11">
        <v>0</v>
      </c>
      <c r="M101" s="20">
        <f t="shared" si="20"/>
        <v>490</v>
      </c>
      <c r="N101" s="5" t="s">
        <v>19</v>
      </c>
    </row>
    <row r="102" spans="1:14" x14ac:dyDescent="0.3">
      <c r="A102" s="25" t="s">
        <v>239</v>
      </c>
      <c r="B102" s="26">
        <v>46010</v>
      </c>
      <c r="C102" s="25" t="s">
        <v>240</v>
      </c>
      <c r="D102" s="25" t="s">
        <v>241</v>
      </c>
      <c r="E102" s="25" t="s">
        <v>242</v>
      </c>
      <c r="F102" s="25">
        <v>2</v>
      </c>
      <c r="G102" s="25">
        <v>2</v>
      </c>
      <c r="H102" s="11">
        <v>0</v>
      </c>
      <c r="I102" s="11">
        <v>0</v>
      </c>
      <c r="J102" s="11">
        <f t="shared" si="18"/>
        <v>210</v>
      </c>
      <c r="K102" s="11">
        <f t="shared" si="19"/>
        <v>280</v>
      </c>
      <c r="L102" s="11">
        <v>0</v>
      </c>
      <c r="M102" s="20">
        <f t="shared" si="20"/>
        <v>490</v>
      </c>
      <c r="N102" s="5" t="s">
        <v>19</v>
      </c>
    </row>
    <row r="103" spans="1:14" x14ac:dyDescent="0.3">
      <c r="A103" t="s">
        <v>182</v>
      </c>
      <c r="B103" s="3">
        <v>46010</v>
      </c>
      <c r="C103" t="s">
        <v>136</v>
      </c>
      <c r="D103" s="4" t="s">
        <v>244</v>
      </c>
      <c r="E103" t="s">
        <v>243</v>
      </c>
      <c r="F103">
        <v>3</v>
      </c>
      <c r="G103">
        <v>2</v>
      </c>
      <c r="H103" s="14">
        <v>52.5</v>
      </c>
      <c r="I103" s="14">
        <v>0</v>
      </c>
      <c r="J103" s="14">
        <f t="shared" si="18"/>
        <v>315</v>
      </c>
      <c r="K103" s="14">
        <f t="shared" si="19"/>
        <v>280</v>
      </c>
      <c r="L103" s="14">
        <v>210</v>
      </c>
      <c r="M103" s="20">
        <f t="shared" si="20"/>
        <v>857.5</v>
      </c>
      <c r="N103" s="5" t="s">
        <v>19</v>
      </c>
    </row>
    <row r="104" spans="1:14" x14ac:dyDescent="0.3">
      <c r="A104" t="s">
        <v>182</v>
      </c>
      <c r="B104" s="3">
        <v>46010</v>
      </c>
      <c r="C104" t="s">
        <v>136</v>
      </c>
      <c r="D104" t="s">
        <v>232</v>
      </c>
      <c r="E104" s="27" t="s">
        <v>245</v>
      </c>
      <c r="F104">
        <v>8</v>
      </c>
      <c r="G104">
        <v>3</v>
      </c>
      <c r="H104" s="14">
        <v>52.5</v>
      </c>
      <c r="I104" s="14">
        <v>70</v>
      </c>
      <c r="J104" s="14">
        <f t="shared" si="18"/>
        <v>840</v>
      </c>
      <c r="K104" s="14">
        <f t="shared" si="19"/>
        <v>420</v>
      </c>
      <c r="L104" s="14">
        <v>420</v>
      </c>
      <c r="M104" s="20">
        <f t="shared" si="20"/>
        <v>1802.5</v>
      </c>
      <c r="N104" s="5" t="s">
        <v>19</v>
      </c>
    </row>
    <row r="105" spans="1:14" x14ac:dyDescent="0.3">
      <c r="A105" t="s">
        <v>246</v>
      </c>
      <c r="B105" s="3">
        <v>45987</v>
      </c>
      <c r="C105" t="s">
        <v>136</v>
      </c>
      <c r="D105" t="s">
        <v>247</v>
      </c>
      <c r="E105" t="s">
        <v>248</v>
      </c>
      <c r="F105">
        <v>2</v>
      </c>
      <c r="H105" s="14">
        <v>52.5</v>
      </c>
      <c r="I105" s="14">
        <v>0</v>
      </c>
      <c r="J105" s="14">
        <f t="shared" si="18"/>
        <v>210</v>
      </c>
      <c r="K105" s="14">
        <f t="shared" si="19"/>
        <v>0</v>
      </c>
      <c r="L105" s="14">
        <v>35</v>
      </c>
      <c r="M105" s="20">
        <f t="shared" si="20"/>
        <v>297.5</v>
      </c>
      <c r="N105" s="5" t="s">
        <v>19</v>
      </c>
    </row>
    <row r="106" spans="1:14" x14ac:dyDescent="0.3">
      <c r="A106" s="15" t="s">
        <v>249</v>
      </c>
      <c r="B106" s="24">
        <v>45987</v>
      </c>
      <c r="C106" s="15" t="s">
        <v>136</v>
      </c>
      <c r="D106" s="15" t="s">
        <v>251</v>
      </c>
      <c r="E106" s="15" t="s">
        <v>252</v>
      </c>
      <c r="F106" s="15">
        <v>5</v>
      </c>
      <c r="G106" s="15"/>
      <c r="H106" s="10">
        <v>52.5</v>
      </c>
      <c r="I106" s="10">
        <v>0</v>
      </c>
      <c r="J106" s="10">
        <f t="shared" si="18"/>
        <v>525</v>
      </c>
      <c r="K106" s="10">
        <f t="shared" si="19"/>
        <v>0</v>
      </c>
      <c r="L106" s="10">
        <v>0</v>
      </c>
      <c r="M106" s="20">
        <f t="shared" si="20"/>
        <v>577.5</v>
      </c>
      <c r="N106" s="5" t="s">
        <v>19</v>
      </c>
    </row>
    <row r="107" spans="1:14" x14ac:dyDescent="0.3">
      <c r="A107" s="15" t="s">
        <v>250</v>
      </c>
      <c r="B107" s="24">
        <v>45987</v>
      </c>
      <c r="C107" s="15" t="s">
        <v>136</v>
      </c>
      <c r="D107" s="15" t="s">
        <v>253</v>
      </c>
      <c r="E107" s="15" t="s">
        <v>252</v>
      </c>
      <c r="F107" s="15">
        <v>5</v>
      </c>
      <c r="G107" s="15"/>
      <c r="H107" s="10">
        <v>52.5</v>
      </c>
      <c r="I107" s="10">
        <v>0</v>
      </c>
      <c r="J107" s="10">
        <f t="shared" si="18"/>
        <v>525</v>
      </c>
      <c r="K107" s="10">
        <f t="shared" si="19"/>
        <v>0</v>
      </c>
      <c r="L107" s="10">
        <v>0</v>
      </c>
      <c r="M107" s="20">
        <f t="shared" si="20"/>
        <v>577.5</v>
      </c>
      <c r="N107" s="5" t="s">
        <v>19</v>
      </c>
    </row>
    <row r="108" spans="1:14" x14ac:dyDescent="0.3">
      <c r="A108" s="15" t="s">
        <v>106</v>
      </c>
      <c r="B108" s="24">
        <v>45987</v>
      </c>
      <c r="C108" s="15" t="s">
        <v>136</v>
      </c>
      <c r="D108" s="15" t="s">
        <v>251</v>
      </c>
      <c r="E108" s="15" t="s">
        <v>252</v>
      </c>
      <c r="F108" s="15">
        <v>5</v>
      </c>
      <c r="G108" s="15"/>
      <c r="H108" s="10">
        <v>52.5</v>
      </c>
      <c r="I108" s="10">
        <v>0</v>
      </c>
      <c r="J108" s="10">
        <f t="shared" si="18"/>
        <v>525</v>
      </c>
      <c r="K108" s="10">
        <f t="shared" si="19"/>
        <v>0</v>
      </c>
      <c r="L108" s="10">
        <v>0</v>
      </c>
      <c r="M108" s="20">
        <f t="shared" si="20"/>
        <v>577.5</v>
      </c>
      <c r="N108" s="5" t="s">
        <v>19</v>
      </c>
    </row>
    <row r="109" spans="1:14" x14ac:dyDescent="0.3">
      <c r="A109" s="15" t="s">
        <v>254</v>
      </c>
      <c r="B109" s="24">
        <v>45987</v>
      </c>
      <c r="C109" s="15" t="s">
        <v>136</v>
      </c>
      <c r="D109" s="15" t="s">
        <v>251</v>
      </c>
      <c r="E109" s="15" t="s">
        <v>252</v>
      </c>
      <c r="F109" s="15">
        <v>5</v>
      </c>
      <c r="G109" s="15"/>
      <c r="H109" s="10">
        <v>52.5</v>
      </c>
      <c r="I109" s="10">
        <v>0</v>
      </c>
      <c r="J109" s="10">
        <f t="shared" si="18"/>
        <v>525</v>
      </c>
      <c r="K109" s="10">
        <f t="shared" si="19"/>
        <v>0</v>
      </c>
      <c r="L109" s="10">
        <v>0</v>
      </c>
      <c r="M109" s="20">
        <f t="shared" si="20"/>
        <v>577.5</v>
      </c>
      <c r="N109" s="5" t="s">
        <v>19</v>
      </c>
    </row>
    <row r="110" spans="1:14" x14ac:dyDescent="0.3">
      <c r="A110" s="29" t="s">
        <v>50</v>
      </c>
      <c r="B110" s="28">
        <v>45987</v>
      </c>
      <c r="C110" s="29" t="s">
        <v>136</v>
      </c>
      <c r="D110" s="29" t="s">
        <v>256</v>
      </c>
      <c r="E110" s="29" t="s">
        <v>237</v>
      </c>
      <c r="F110" s="29">
        <v>1</v>
      </c>
      <c r="G110" s="29"/>
      <c r="H110" s="30">
        <v>0</v>
      </c>
      <c r="I110" s="30">
        <v>0</v>
      </c>
      <c r="J110" s="30">
        <f t="shared" si="18"/>
        <v>105</v>
      </c>
      <c r="K110" s="30">
        <f t="shared" si="19"/>
        <v>0</v>
      </c>
      <c r="L110" s="30">
        <v>70</v>
      </c>
      <c r="M110" s="20">
        <f t="shared" si="20"/>
        <v>175</v>
      </c>
      <c r="N110" s="5" t="s">
        <v>19</v>
      </c>
    </row>
    <row r="111" spans="1:14" x14ac:dyDescent="0.3">
      <c r="A111" s="29" t="s">
        <v>255</v>
      </c>
      <c r="B111" s="28">
        <v>45987</v>
      </c>
      <c r="C111" s="29" t="s">
        <v>136</v>
      </c>
      <c r="D111" s="29" t="s">
        <v>256</v>
      </c>
      <c r="E111" s="29" t="s">
        <v>257</v>
      </c>
      <c r="F111" s="29">
        <v>1</v>
      </c>
      <c r="G111" s="29"/>
      <c r="H111" s="30">
        <v>0</v>
      </c>
      <c r="I111" s="30">
        <v>0</v>
      </c>
      <c r="J111" s="30">
        <f t="shared" si="18"/>
        <v>105</v>
      </c>
      <c r="K111" s="30">
        <f t="shared" si="19"/>
        <v>0</v>
      </c>
      <c r="L111" s="30">
        <v>70</v>
      </c>
      <c r="M111" s="20">
        <f t="shared" si="20"/>
        <v>175</v>
      </c>
      <c r="N111" s="5" t="s">
        <v>19</v>
      </c>
    </row>
    <row r="112" spans="1:14" x14ac:dyDescent="0.3">
      <c r="A112" t="s">
        <v>3</v>
      </c>
      <c r="B112" s="3">
        <v>45992</v>
      </c>
      <c r="C112" t="s">
        <v>18</v>
      </c>
      <c r="D112" t="s">
        <v>259</v>
      </c>
      <c r="E112" t="s">
        <v>258</v>
      </c>
      <c r="F112">
        <v>2</v>
      </c>
      <c r="G112">
        <v>2</v>
      </c>
      <c r="H112" s="14">
        <v>0</v>
      </c>
      <c r="I112" s="14">
        <v>52.5</v>
      </c>
      <c r="J112" s="14">
        <f t="shared" si="18"/>
        <v>210</v>
      </c>
      <c r="K112" s="14">
        <f t="shared" si="19"/>
        <v>280</v>
      </c>
      <c r="L112" s="14">
        <v>0</v>
      </c>
      <c r="M112" s="20">
        <f t="shared" si="20"/>
        <v>542.5</v>
      </c>
      <c r="N112" s="5" t="s">
        <v>19</v>
      </c>
    </row>
    <row r="113" spans="1:14" x14ac:dyDescent="0.3">
      <c r="A113" t="s">
        <v>260</v>
      </c>
      <c r="B113" s="3">
        <v>45992</v>
      </c>
      <c r="C113" t="s">
        <v>136</v>
      </c>
      <c r="D113" t="s">
        <v>261</v>
      </c>
      <c r="E113" t="s">
        <v>237</v>
      </c>
      <c r="F113">
        <v>3</v>
      </c>
      <c r="H113" s="14">
        <v>0</v>
      </c>
      <c r="I113" s="14">
        <v>0</v>
      </c>
      <c r="J113" s="14">
        <f t="shared" si="18"/>
        <v>315</v>
      </c>
      <c r="K113" s="14">
        <f t="shared" si="19"/>
        <v>0</v>
      </c>
      <c r="L113" s="14">
        <v>0</v>
      </c>
      <c r="M113" s="20">
        <f t="shared" si="20"/>
        <v>315</v>
      </c>
      <c r="N113" s="5" t="s">
        <v>19</v>
      </c>
    </row>
    <row r="114" spans="1:14" x14ac:dyDescent="0.3">
      <c r="A114" t="s">
        <v>130</v>
      </c>
      <c r="B114" s="3">
        <v>45992</v>
      </c>
      <c r="C114" t="s">
        <v>136</v>
      </c>
      <c r="D114" t="s">
        <v>263</v>
      </c>
      <c r="E114" t="s">
        <v>258</v>
      </c>
      <c r="F114">
        <v>3</v>
      </c>
      <c r="G114">
        <v>2</v>
      </c>
      <c r="H114" s="14">
        <v>0</v>
      </c>
      <c r="I114" s="14">
        <v>0</v>
      </c>
      <c r="J114" s="14">
        <f t="shared" si="18"/>
        <v>315</v>
      </c>
      <c r="K114" s="14">
        <f t="shared" si="19"/>
        <v>280</v>
      </c>
      <c r="L114" s="14">
        <v>0</v>
      </c>
      <c r="M114" s="20">
        <f t="shared" si="20"/>
        <v>595</v>
      </c>
      <c r="N114" s="5" t="s">
        <v>19</v>
      </c>
    </row>
    <row r="115" spans="1:14" x14ac:dyDescent="0.3">
      <c r="A115" t="s">
        <v>83</v>
      </c>
      <c r="B115" s="3">
        <v>45992</v>
      </c>
      <c r="C115" t="s">
        <v>136</v>
      </c>
      <c r="D115" t="s">
        <v>264</v>
      </c>
      <c r="E115" t="s">
        <v>200</v>
      </c>
      <c r="F115">
        <v>4</v>
      </c>
      <c r="H115" s="14">
        <v>70</v>
      </c>
      <c r="I115" s="14">
        <v>0</v>
      </c>
      <c r="J115" s="14">
        <f t="shared" si="18"/>
        <v>420</v>
      </c>
      <c r="K115" s="14">
        <f t="shared" si="19"/>
        <v>0</v>
      </c>
      <c r="L115" s="14">
        <v>35</v>
      </c>
      <c r="M115" s="20">
        <f t="shared" si="20"/>
        <v>525</v>
      </c>
      <c r="N115" s="5" t="s">
        <v>19</v>
      </c>
    </row>
    <row r="116" spans="1:14" x14ac:dyDescent="0.3">
      <c r="A116" t="s">
        <v>265</v>
      </c>
      <c r="B116" s="3">
        <v>45993</v>
      </c>
      <c r="C116" t="s">
        <v>136</v>
      </c>
      <c r="D116" t="s">
        <v>267</v>
      </c>
      <c r="E116" t="s">
        <v>266</v>
      </c>
      <c r="F116">
        <v>4</v>
      </c>
      <c r="H116" s="14">
        <v>70</v>
      </c>
      <c r="I116" s="14">
        <v>0</v>
      </c>
      <c r="J116" s="14">
        <f t="shared" si="18"/>
        <v>420</v>
      </c>
      <c r="K116" s="14">
        <f t="shared" si="19"/>
        <v>0</v>
      </c>
      <c r="L116" s="14">
        <v>0</v>
      </c>
      <c r="M116" s="20">
        <f t="shared" si="20"/>
        <v>490</v>
      </c>
      <c r="N116" s="5" t="s">
        <v>19</v>
      </c>
    </row>
    <row r="117" spans="1:14" x14ac:dyDescent="0.3">
      <c r="A117" t="s">
        <v>268</v>
      </c>
      <c r="B117" s="5" t="s">
        <v>269</v>
      </c>
      <c r="H117" s="14">
        <v>0</v>
      </c>
      <c r="I117" s="14">
        <v>0</v>
      </c>
      <c r="J117" s="14">
        <f t="shared" si="18"/>
        <v>0</v>
      </c>
      <c r="K117" s="14">
        <f t="shared" si="19"/>
        <v>0</v>
      </c>
      <c r="L117" s="14">
        <v>0</v>
      </c>
      <c r="M117" s="14">
        <f t="shared" si="20"/>
        <v>0</v>
      </c>
    </row>
    <row r="118" spans="1:14" x14ac:dyDescent="0.3">
      <c r="A118" s="15" t="s">
        <v>238</v>
      </c>
      <c r="B118" s="24">
        <v>46006</v>
      </c>
      <c r="C118" s="15" t="s">
        <v>271</v>
      </c>
      <c r="D118" s="15" t="s">
        <v>272</v>
      </c>
      <c r="E118" s="15" t="s">
        <v>273</v>
      </c>
      <c r="F118" s="15">
        <v>2</v>
      </c>
      <c r="G118" s="15"/>
      <c r="H118" s="10">
        <v>0</v>
      </c>
      <c r="I118" s="10">
        <v>0</v>
      </c>
      <c r="J118" s="10">
        <f t="shared" si="18"/>
        <v>210</v>
      </c>
      <c r="K118" s="10">
        <f t="shared" si="19"/>
        <v>0</v>
      </c>
      <c r="L118" s="10">
        <v>0</v>
      </c>
      <c r="M118" s="20">
        <f t="shared" si="20"/>
        <v>210</v>
      </c>
      <c r="N118" s="5" t="s">
        <v>19</v>
      </c>
    </row>
    <row r="119" spans="1:14" x14ac:dyDescent="0.3">
      <c r="A119" s="15" t="s">
        <v>239</v>
      </c>
      <c r="B119" s="24">
        <v>46006</v>
      </c>
      <c r="C119" s="15" t="s">
        <v>271</v>
      </c>
      <c r="D119" s="15" t="s">
        <v>272</v>
      </c>
      <c r="E119" s="15" t="s">
        <v>274</v>
      </c>
      <c r="F119" s="15">
        <v>2</v>
      </c>
      <c r="G119" s="15">
        <v>2</v>
      </c>
      <c r="H119" s="10">
        <v>0</v>
      </c>
      <c r="I119" s="10">
        <v>0</v>
      </c>
      <c r="J119" s="10">
        <f t="shared" si="18"/>
        <v>210</v>
      </c>
      <c r="K119" s="10">
        <f t="shared" si="19"/>
        <v>280</v>
      </c>
      <c r="L119" s="10">
        <v>140</v>
      </c>
      <c r="M119" s="20">
        <f t="shared" si="20"/>
        <v>630</v>
      </c>
      <c r="N119" s="5" t="s">
        <v>19</v>
      </c>
    </row>
    <row r="120" spans="1:14" x14ac:dyDescent="0.3">
      <c r="A120" s="15" t="s">
        <v>62</v>
      </c>
      <c r="B120" s="24">
        <v>46006</v>
      </c>
      <c r="C120" s="15" t="s">
        <v>271</v>
      </c>
      <c r="D120" s="15" t="s">
        <v>272</v>
      </c>
      <c r="E120" s="15" t="s">
        <v>274</v>
      </c>
      <c r="F120" s="15">
        <v>2</v>
      </c>
      <c r="G120" s="15">
        <v>2</v>
      </c>
      <c r="H120" s="10">
        <v>0</v>
      </c>
      <c r="I120" s="10">
        <v>0</v>
      </c>
      <c r="J120" s="10">
        <f t="shared" si="18"/>
        <v>210</v>
      </c>
      <c r="K120" s="10">
        <f t="shared" si="19"/>
        <v>280</v>
      </c>
      <c r="L120" s="10">
        <v>0</v>
      </c>
      <c r="M120" s="20">
        <f t="shared" si="20"/>
        <v>490</v>
      </c>
      <c r="N120" s="5" t="s">
        <v>19</v>
      </c>
    </row>
    <row r="121" spans="1:14" x14ac:dyDescent="0.3">
      <c r="A121" t="s">
        <v>275</v>
      </c>
      <c r="B121" s="3">
        <v>46007</v>
      </c>
      <c r="C121" t="s">
        <v>136</v>
      </c>
      <c r="D121" t="s">
        <v>276</v>
      </c>
      <c r="E121" t="s">
        <v>277</v>
      </c>
      <c r="F121">
        <v>2</v>
      </c>
      <c r="H121" s="14">
        <v>0</v>
      </c>
      <c r="I121" s="14">
        <v>52.5</v>
      </c>
      <c r="J121" s="14">
        <f t="shared" si="18"/>
        <v>210</v>
      </c>
      <c r="K121" s="14">
        <f t="shared" si="19"/>
        <v>0</v>
      </c>
      <c r="L121" s="14">
        <v>35</v>
      </c>
      <c r="M121" s="14">
        <f t="shared" si="20"/>
        <v>297.5</v>
      </c>
    </row>
    <row r="122" spans="1:14" x14ac:dyDescent="0.3">
      <c r="A122" t="s">
        <v>278</v>
      </c>
      <c r="B122" s="3">
        <v>46007</v>
      </c>
      <c r="C122" t="s">
        <v>279</v>
      </c>
      <c r="D122" t="s">
        <v>280</v>
      </c>
      <c r="E122" t="s">
        <v>280</v>
      </c>
      <c r="F122">
        <v>1</v>
      </c>
      <c r="H122" s="14">
        <v>0</v>
      </c>
      <c r="I122" s="14">
        <v>0</v>
      </c>
      <c r="J122" s="14">
        <f t="shared" si="18"/>
        <v>105</v>
      </c>
      <c r="K122" s="14">
        <f t="shared" si="19"/>
        <v>0</v>
      </c>
      <c r="L122" s="14">
        <v>35</v>
      </c>
      <c r="M122" s="20">
        <f t="shared" si="20"/>
        <v>140</v>
      </c>
      <c r="N122" s="5" t="s">
        <v>19</v>
      </c>
    </row>
    <row r="123" spans="1:14" x14ac:dyDescent="0.3">
      <c r="A123" s="29" t="s">
        <v>130</v>
      </c>
      <c r="B123" s="28">
        <v>46007</v>
      </c>
      <c r="C123" s="29" t="s">
        <v>279</v>
      </c>
      <c r="D123" s="29" t="s">
        <v>263</v>
      </c>
      <c r="E123" s="29" t="s">
        <v>258</v>
      </c>
      <c r="F123" s="29">
        <v>3</v>
      </c>
      <c r="G123" s="29">
        <v>2</v>
      </c>
      <c r="H123" s="30">
        <v>0</v>
      </c>
      <c r="I123" s="30">
        <v>0</v>
      </c>
      <c r="J123" s="30">
        <f t="shared" si="18"/>
        <v>315</v>
      </c>
      <c r="K123" s="30">
        <f t="shared" si="19"/>
        <v>280</v>
      </c>
      <c r="L123" s="30">
        <v>0</v>
      </c>
      <c r="M123" s="20">
        <f t="shared" si="20"/>
        <v>595</v>
      </c>
      <c r="N123" s="5" t="s">
        <v>19</v>
      </c>
    </row>
    <row r="124" spans="1:14" x14ac:dyDescent="0.3">
      <c r="A124" s="29" t="s">
        <v>281</v>
      </c>
      <c r="B124" s="28">
        <v>46007</v>
      </c>
      <c r="C124" s="29" t="s">
        <v>279</v>
      </c>
      <c r="D124" s="29" t="s">
        <v>283</v>
      </c>
      <c r="E124" s="29" t="s">
        <v>282</v>
      </c>
      <c r="F124" s="29">
        <v>3</v>
      </c>
      <c r="G124" s="29">
        <v>2</v>
      </c>
      <c r="H124" s="30">
        <v>0</v>
      </c>
      <c r="I124" s="30">
        <v>52.5</v>
      </c>
      <c r="J124" s="30">
        <f t="shared" si="18"/>
        <v>315</v>
      </c>
      <c r="K124" s="30">
        <f t="shared" si="19"/>
        <v>280</v>
      </c>
      <c r="L124" s="30">
        <v>0</v>
      </c>
      <c r="M124" s="20">
        <f t="shared" si="20"/>
        <v>647.5</v>
      </c>
      <c r="N124" s="5" t="s">
        <v>19</v>
      </c>
    </row>
    <row r="125" spans="1:14" x14ac:dyDescent="0.3">
      <c r="A125" s="15" t="s">
        <v>284</v>
      </c>
      <c r="B125" s="24">
        <v>46008</v>
      </c>
      <c r="C125" s="15"/>
      <c r="D125" s="15" t="s">
        <v>287</v>
      </c>
      <c r="E125" s="15" t="s">
        <v>288</v>
      </c>
      <c r="F125" s="15">
        <v>3</v>
      </c>
      <c r="G125" s="15"/>
      <c r="H125" s="10">
        <v>0</v>
      </c>
      <c r="I125" s="10">
        <v>0</v>
      </c>
      <c r="J125" s="10">
        <f>F125*52.5</f>
        <v>157.5</v>
      </c>
      <c r="K125" s="10">
        <f t="shared" si="19"/>
        <v>0</v>
      </c>
      <c r="L125" s="10">
        <v>0</v>
      </c>
      <c r="M125" s="20">
        <f t="shared" si="20"/>
        <v>157.5</v>
      </c>
      <c r="N125" s="5" t="s">
        <v>19</v>
      </c>
    </row>
    <row r="126" spans="1:14" x14ac:dyDescent="0.3">
      <c r="A126" s="15" t="s">
        <v>285</v>
      </c>
      <c r="B126" s="24">
        <v>46008</v>
      </c>
      <c r="C126" s="15"/>
      <c r="D126" s="15" t="s">
        <v>218</v>
      </c>
      <c r="E126" s="15" t="s">
        <v>286</v>
      </c>
      <c r="F126" s="15">
        <v>2</v>
      </c>
      <c r="G126" s="15">
        <v>2</v>
      </c>
      <c r="H126" s="10">
        <v>0</v>
      </c>
      <c r="I126" s="10">
        <v>0</v>
      </c>
      <c r="J126" s="10">
        <f t="shared" si="18"/>
        <v>210</v>
      </c>
      <c r="K126" s="10">
        <f t="shared" si="19"/>
        <v>280</v>
      </c>
      <c r="L126" s="10">
        <v>0</v>
      </c>
      <c r="M126" s="20">
        <f t="shared" si="20"/>
        <v>490</v>
      </c>
      <c r="N126" s="5" t="s">
        <v>19</v>
      </c>
    </row>
    <row r="127" spans="1:14" x14ac:dyDescent="0.3">
      <c r="A127" t="s">
        <v>214</v>
      </c>
      <c r="B127" s="3">
        <v>45980</v>
      </c>
      <c r="C127" t="s">
        <v>7</v>
      </c>
      <c r="D127" t="s">
        <v>287</v>
      </c>
      <c r="E127" t="s">
        <v>287</v>
      </c>
      <c r="F127">
        <v>1</v>
      </c>
      <c r="H127" s="14">
        <v>0</v>
      </c>
      <c r="I127" s="14">
        <v>0</v>
      </c>
      <c r="J127" s="14">
        <f t="shared" ref="J127:J137" si="21">F127*105</f>
        <v>105</v>
      </c>
      <c r="K127" s="14">
        <f t="shared" ref="K127:K137" si="22">G127*140</f>
        <v>0</v>
      </c>
      <c r="L127" s="14">
        <v>35</v>
      </c>
      <c r="M127" s="20">
        <f t="shared" ref="M127:M137" si="23">SUM(H127:L127)</f>
        <v>140</v>
      </c>
      <c r="N127" s="5" t="s">
        <v>19</v>
      </c>
    </row>
    <row r="128" spans="1:14" x14ac:dyDescent="0.3">
      <c r="A128" t="s">
        <v>215</v>
      </c>
      <c r="B128" s="3">
        <v>45980</v>
      </c>
      <c r="C128" t="s">
        <v>7</v>
      </c>
      <c r="D128" t="s">
        <v>287</v>
      </c>
      <c r="E128" t="s">
        <v>287</v>
      </c>
      <c r="F128">
        <v>1</v>
      </c>
      <c r="H128" s="14">
        <v>0</v>
      </c>
      <c r="I128" s="14">
        <v>0</v>
      </c>
      <c r="J128" s="14">
        <f t="shared" si="21"/>
        <v>105</v>
      </c>
      <c r="K128" s="14">
        <f t="shared" si="22"/>
        <v>0</v>
      </c>
      <c r="L128" s="14">
        <v>35</v>
      </c>
      <c r="M128" s="20">
        <f t="shared" si="23"/>
        <v>140</v>
      </c>
      <c r="N128" s="5" t="s">
        <v>19</v>
      </c>
    </row>
    <row r="129" spans="1:13" x14ac:dyDescent="0.3">
      <c r="A129" t="s">
        <v>42</v>
      </c>
      <c r="B129" s="3">
        <v>46013</v>
      </c>
      <c r="C129" t="s">
        <v>136</v>
      </c>
      <c r="D129" t="s">
        <v>289</v>
      </c>
      <c r="E129" t="s">
        <v>290</v>
      </c>
      <c r="H129" s="14">
        <v>0</v>
      </c>
      <c r="I129" s="14">
        <v>0</v>
      </c>
      <c r="J129" s="14">
        <f t="shared" si="21"/>
        <v>0</v>
      </c>
      <c r="K129" s="14">
        <f t="shared" si="22"/>
        <v>0</v>
      </c>
      <c r="L129" s="14">
        <v>0</v>
      </c>
      <c r="M129" s="14">
        <f t="shared" si="23"/>
        <v>0</v>
      </c>
    </row>
    <row r="130" spans="1:13" x14ac:dyDescent="0.3">
      <c r="A130" t="s">
        <v>111</v>
      </c>
      <c r="B130" s="3">
        <v>46013</v>
      </c>
      <c r="C130" t="s">
        <v>136</v>
      </c>
      <c r="D130" t="s">
        <v>291</v>
      </c>
      <c r="E130" t="s">
        <v>292</v>
      </c>
      <c r="H130" s="14">
        <v>0</v>
      </c>
      <c r="I130" s="14">
        <v>0</v>
      </c>
      <c r="J130" s="14">
        <f t="shared" si="21"/>
        <v>0</v>
      </c>
      <c r="K130" s="14">
        <f t="shared" si="22"/>
        <v>0</v>
      </c>
      <c r="L130" s="14">
        <v>0</v>
      </c>
      <c r="M130" s="14">
        <f t="shared" si="23"/>
        <v>0</v>
      </c>
    </row>
    <row r="131" spans="1:13" x14ac:dyDescent="0.3">
      <c r="H131" s="14">
        <v>0</v>
      </c>
      <c r="I131" s="14">
        <v>0</v>
      </c>
      <c r="J131" s="14">
        <f t="shared" si="21"/>
        <v>0</v>
      </c>
      <c r="K131" s="14">
        <f t="shared" si="22"/>
        <v>0</v>
      </c>
      <c r="L131" s="14">
        <v>0</v>
      </c>
      <c r="M131" s="14">
        <f t="shared" si="23"/>
        <v>0</v>
      </c>
    </row>
    <row r="132" spans="1:13" x14ac:dyDescent="0.3">
      <c r="H132" s="14">
        <v>0</v>
      </c>
      <c r="I132" s="14">
        <v>0</v>
      </c>
      <c r="J132" s="14">
        <f t="shared" si="21"/>
        <v>0</v>
      </c>
      <c r="K132" s="14">
        <f t="shared" si="22"/>
        <v>0</v>
      </c>
      <c r="L132" s="14">
        <v>0</v>
      </c>
      <c r="M132" s="14">
        <f t="shared" si="23"/>
        <v>0</v>
      </c>
    </row>
    <row r="133" spans="1:13" x14ac:dyDescent="0.3">
      <c r="H133" s="14">
        <v>0</v>
      </c>
      <c r="I133" s="14">
        <v>0</v>
      </c>
      <c r="J133" s="14">
        <f t="shared" si="21"/>
        <v>0</v>
      </c>
      <c r="K133" s="14">
        <f t="shared" si="22"/>
        <v>0</v>
      </c>
      <c r="L133" s="14">
        <v>0</v>
      </c>
      <c r="M133" s="14">
        <f t="shared" si="23"/>
        <v>0</v>
      </c>
    </row>
    <row r="134" spans="1:13" x14ac:dyDescent="0.3">
      <c r="H134" s="14">
        <v>0</v>
      </c>
      <c r="I134" s="14">
        <v>0</v>
      </c>
      <c r="J134" s="14">
        <f t="shared" si="21"/>
        <v>0</v>
      </c>
      <c r="K134" s="14">
        <f t="shared" si="22"/>
        <v>0</v>
      </c>
      <c r="L134" s="14">
        <v>0</v>
      </c>
      <c r="M134" s="14">
        <f t="shared" si="23"/>
        <v>0</v>
      </c>
    </row>
    <row r="135" spans="1:13" x14ac:dyDescent="0.3">
      <c r="H135" s="14">
        <v>0</v>
      </c>
      <c r="I135" s="14">
        <v>0</v>
      </c>
      <c r="J135" s="14">
        <f t="shared" si="21"/>
        <v>0</v>
      </c>
      <c r="K135" s="14">
        <f t="shared" si="22"/>
        <v>0</v>
      </c>
      <c r="L135" s="14">
        <v>0</v>
      </c>
      <c r="M135" s="14">
        <f t="shared" si="23"/>
        <v>0</v>
      </c>
    </row>
    <row r="136" spans="1:13" x14ac:dyDescent="0.3">
      <c r="H136" s="14">
        <v>0</v>
      </c>
      <c r="I136" s="14">
        <v>0</v>
      </c>
      <c r="J136" s="14">
        <f t="shared" si="21"/>
        <v>0</v>
      </c>
      <c r="K136" s="14">
        <f t="shared" si="22"/>
        <v>0</v>
      </c>
      <c r="L136" s="14">
        <v>0</v>
      </c>
      <c r="M136" s="14">
        <f t="shared" si="23"/>
        <v>0</v>
      </c>
    </row>
    <row r="137" spans="1:13" x14ac:dyDescent="0.3">
      <c r="H137" s="14">
        <v>0</v>
      </c>
      <c r="I137" s="14">
        <v>0</v>
      </c>
      <c r="J137" s="14">
        <f t="shared" si="21"/>
        <v>0</v>
      </c>
      <c r="K137" s="14">
        <f t="shared" si="22"/>
        <v>0</v>
      </c>
      <c r="L137" s="14">
        <v>0</v>
      </c>
      <c r="M137" s="14">
        <f t="shared" si="23"/>
        <v>0</v>
      </c>
    </row>
    <row r="138" spans="1:13" x14ac:dyDescent="0.3">
      <c r="H138" s="14"/>
      <c r="I138" s="14"/>
      <c r="J138" s="14"/>
      <c r="K138" s="14"/>
      <c r="L138" s="14"/>
      <c r="M138" s="14"/>
    </row>
    <row r="139" spans="1:13" x14ac:dyDescent="0.3">
      <c r="H139" s="14"/>
      <c r="I139" s="14"/>
      <c r="J139" s="14"/>
      <c r="K139" s="14"/>
      <c r="L139" s="14"/>
      <c r="M139" s="14"/>
    </row>
    <row r="140" spans="1:13" x14ac:dyDescent="0.3">
      <c r="H140" s="14"/>
      <c r="I140" s="14"/>
      <c r="J140" s="14"/>
      <c r="K140" s="14"/>
      <c r="L140" s="14"/>
      <c r="M140" s="14"/>
    </row>
    <row r="141" spans="1:13" x14ac:dyDescent="0.3">
      <c r="H141" s="14"/>
      <c r="I141" s="14"/>
      <c r="J141" s="14"/>
      <c r="K141" s="14"/>
      <c r="L141" s="14"/>
      <c r="M141" s="14"/>
    </row>
    <row r="142" spans="1:13" x14ac:dyDescent="0.3">
      <c r="H142" s="14"/>
      <c r="I142" s="14"/>
      <c r="J142" s="14"/>
      <c r="K142" s="14"/>
      <c r="L142" s="14"/>
      <c r="M142" s="14"/>
    </row>
    <row r="143" spans="1:13" x14ac:dyDescent="0.3">
      <c r="H143" s="14"/>
      <c r="I143" s="14"/>
      <c r="J143" s="14"/>
      <c r="K143" s="14"/>
      <c r="L143" s="14"/>
      <c r="M143" s="14"/>
    </row>
    <row r="144" spans="1:13" x14ac:dyDescent="0.3">
      <c r="H144" s="14"/>
      <c r="I144" s="14"/>
      <c r="J144" s="14"/>
      <c r="K144" s="14"/>
      <c r="L144" s="14"/>
      <c r="M144" s="14"/>
    </row>
    <row r="145" spans="8:13" x14ac:dyDescent="0.3">
      <c r="H145" s="14"/>
      <c r="I145" s="14"/>
      <c r="J145" s="14"/>
      <c r="K145" s="14"/>
      <c r="L145" s="14"/>
      <c r="M145" s="14"/>
    </row>
    <row r="146" spans="8:13" x14ac:dyDescent="0.3">
      <c r="H146" s="14"/>
      <c r="I146" s="14"/>
      <c r="J146" s="14"/>
      <c r="K146" s="14"/>
      <c r="L146" s="14"/>
      <c r="M146" s="14"/>
    </row>
    <row r="147" spans="8:13" x14ac:dyDescent="0.3">
      <c r="H147" s="14"/>
      <c r="I147" s="14"/>
      <c r="J147" s="14"/>
      <c r="K147" s="14"/>
      <c r="L147" s="14"/>
      <c r="M147" s="14"/>
    </row>
    <row r="148" spans="8:13" x14ac:dyDescent="0.3">
      <c r="H148" s="14"/>
      <c r="I148" s="14"/>
      <c r="J148" s="14"/>
      <c r="K148" s="14"/>
      <c r="L148" s="14"/>
      <c r="M148" s="14"/>
    </row>
    <row r="149" spans="8:13" x14ac:dyDescent="0.3">
      <c r="H149" s="14"/>
      <c r="I149" s="14"/>
      <c r="J149" s="14"/>
      <c r="K149" s="14"/>
      <c r="L149" s="14"/>
      <c r="M149" s="14"/>
    </row>
    <row r="150" spans="8:13" x14ac:dyDescent="0.3">
      <c r="H150" s="14"/>
      <c r="I150" s="14"/>
      <c r="J150" s="14"/>
      <c r="K150" s="14"/>
      <c r="L150" s="14"/>
      <c r="M150" s="14"/>
    </row>
    <row r="151" spans="8:13" x14ac:dyDescent="0.3">
      <c r="H151" s="14"/>
      <c r="I151" s="14"/>
      <c r="J151" s="14"/>
      <c r="K151" s="14"/>
      <c r="L151" s="14"/>
      <c r="M151" s="14"/>
    </row>
    <row r="152" spans="8:13" x14ac:dyDescent="0.3">
      <c r="H152" s="14"/>
      <c r="I152" s="14"/>
      <c r="J152" s="14"/>
      <c r="K152" s="14"/>
      <c r="L152" s="14"/>
      <c r="M152" s="14"/>
    </row>
    <row r="153" spans="8:13" x14ac:dyDescent="0.3">
      <c r="H153" s="14"/>
      <c r="I153" s="14"/>
      <c r="J153" s="14"/>
      <c r="K153" s="14"/>
      <c r="L153" s="14"/>
      <c r="M153" s="14"/>
    </row>
    <row r="154" spans="8:13" x14ac:dyDescent="0.3">
      <c r="H154" s="14"/>
      <c r="I154" s="14"/>
      <c r="J154" s="14"/>
      <c r="K154" s="14"/>
      <c r="L154" s="14"/>
      <c r="M154" s="14"/>
    </row>
    <row r="155" spans="8:13" x14ac:dyDescent="0.3">
      <c r="H155" s="14"/>
      <c r="I155" s="14"/>
      <c r="J155" s="14"/>
      <c r="K155" s="14"/>
      <c r="L155" s="14"/>
      <c r="M155" s="14"/>
    </row>
    <row r="156" spans="8:13" x14ac:dyDescent="0.3">
      <c r="H156" s="14"/>
      <c r="I156" s="14"/>
      <c r="J156" s="14"/>
      <c r="K156" s="14"/>
      <c r="L156" s="14"/>
      <c r="M156" s="14"/>
    </row>
    <row r="157" spans="8:13" x14ac:dyDescent="0.3">
      <c r="H157" s="14"/>
      <c r="I157" s="14"/>
      <c r="J157" s="14"/>
      <c r="K157" s="14"/>
      <c r="L157" s="14"/>
      <c r="M157" s="14"/>
    </row>
    <row r="158" spans="8:13" x14ac:dyDescent="0.3">
      <c r="H158" s="14"/>
      <c r="I158" s="14"/>
      <c r="J158" s="14"/>
      <c r="K158" s="14"/>
      <c r="L158" s="14"/>
      <c r="M158" s="14"/>
    </row>
    <row r="159" spans="8:13" x14ac:dyDescent="0.3">
      <c r="H159" s="14"/>
      <c r="I159" s="14"/>
      <c r="J159" s="14"/>
      <c r="K159" s="14"/>
      <c r="L159" s="14"/>
      <c r="M159" s="14"/>
    </row>
    <row r="160" spans="8:13" x14ac:dyDescent="0.3">
      <c r="H160" s="14"/>
      <c r="I160" s="14"/>
      <c r="J160" s="14"/>
      <c r="K160" s="14"/>
      <c r="L160" s="14"/>
      <c r="M160" s="14"/>
    </row>
    <row r="161" spans="8:13" x14ac:dyDescent="0.3">
      <c r="H161" s="14"/>
      <c r="I161" s="14"/>
      <c r="J161" s="14"/>
      <c r="K161" s="14"/>
      <c r="L161" s="14"/>
      <c r="M161" s="14"/>
    </row>
    <row r="162" spans="8:13" x14ac:dyDescent="0.3">
      <c r="H162" s="14"/>
      <c r="I162" s="14"/>
      <c r="J162" s="14"/>
      <c r="K162" s="14"/>
      <c r="L162" s="14"/>
      <c r="M162" s="14"/>
    </row>
    <row r="163" spans="8:13" x14ac:dyDescent="0.3">
      <c r="H163" s="14"/>
      <c r="I163" s="14"/>
      <c r="J163" s="14"/>
      <c r="K163" s="14"/>
      <c r="L163" s="14"/>
      <c r="M163" s="14"/>
    </row>
    <row r="164" spans="8:13" x14ac:dyDescent="0.3">
      <c r="H164" s="14"/>
      <c r="I164" s="14"/>
      <c r="J164" s="14"/>
      <c r="K164" s="14"/>
      <c r="L164" s="14"/>
      <c r="M164" s="14"/>
    </row>
    <row r="165" spans="8:13" x14ac:dyDescent="0.3">
      <c r="H165" s="14"/>
      <c r="I165" s="14"/>
      <c r="J165" s="14"/>
      <c r="K165" s="14"/>
      <c r="L165" s="14"/>
      <c r="M165" s="14"/>
    </row>
    <row r="166" spans="8:13" x14ac:dyDescent="0.3">
      <c r="H166" s="14"/>
      <c r="I166" s="14"/>
      <c r="J166" s="14"/>
      <c r="K166" s="14"/>
      <c r="L166" s="14"/>
      <c r="M166" s="14"/>
    </row>
    <row r="167" spans="8:13" x14ac:dyDescent="0.3">
      <c r="H167" s="14"/>
      <c r="I167" s="14"/>
      <c r="J167" s="14"/>
      <c r="K167" s="14"/>
      <c r="L167" s="14"/>
      <c r="M167" s="14"/>
    </row>
    <row r="168" spans="8:13" x14ac:dyDescent="0.3">
      <c r="H168" s="14"/>
      <c r="I168" s="14"/>
      <c r="J168" s="14"/>
      <c r="K168" s="14"/>
      <c r="L168" s="14"/>
      <c r="M168" s="14"/>
    </row>
    <row r="169" spans="8:13" x14ac:dyDescent="0.3">
      <c r="H169" s="14"/>
      <c r="I169" s="14"/>
      <c r="J169" s="14"/>
      <c r="K169" s="14"/>
      <c r="L169" s="14"/>
      <c r="M169" s="14"/>
    </row>
    <row r="170" spans="8:13" x14ac:dyDescent="0.3">
      <c r="H170" s="14"/>
      <c r="I170" s="14"/>
      <c r="J170" s="14"/>
      <c r="K170" s="14"/>
      <c r="L170" s="14"/>
      <c r="M170" s="14"/>
    </row>
    <row r="171" spans="8:13" x14ac:dyDescent="0.3">
      <c r="H171" s="14"/>
      <c r="I171" s="14"/>
      <c r="J171" s="14"/>
      <c r="K171" s="14"/>
      <c r="L171" s="14"/>
      <c r="M171" s="14"/>
    </row>
    <row r="172" spans="8:13" x14ac:dyDescent="0.3">
      <c r="H172" s="14"/>
      <c r="I172" s="14"/>
      <c r="J172" s="14"/>
      <c r="K172" s="14"/>
      <c r="L172" s="14"/>
      <c r="M172" s="14"/>
    </row>
    <row r="173" spans="8:13" x14ac:dyDescent="0.3">
      <c r="H173" s="14"/>
      <c r="I173" s="14"/>
      <c r="J173" s="14"/>
      <c r="K173" s="14"/>
      <c r="L173" s="14"/>
      <c r="M173" s="14"/>
    </row>
    <row r="174" spans="8:13" x14ac:dyDescent="0.3">
      <c r="H174" s="14"/>
      <c r="I174" s="14"/>
      <c r="J174" s="14"/>
      <c r="K174" s="14"/>
      <c r="L174" s="14"/>
      <c r="M174" s="14"/>
    </row>
    <row r="175" spans="8:13" x14ac:dyDescent="0.3">
      <c r="H175" s="14"/>
      <c r="I175" s="14"/>
      <c r="J175" s="14"/>
      <c r="K175" s="14"/>
      <c r="L175" s="14"/>
      <c r="M175" s="14"/>
    </row>
    <row r="176" spans="8:13" x14ac:dyDescent="0.3">
      <c r="H176" s="14"/>
      <c r="I176" s="14"/>
      <c r="J176" s="14"/>
      <c r="K176" s="14"/>
      <c r="L176" s="14"/>
      <c r="M176" s="14"/>
    </row>
    <row r="177" spans="8:13" x14ac:dyDescent="0.3">
      <c r="H177" s="14"/>
      <c r="I177" s="14"/>
      <c r="J177" s="14"/>
      <c r="K177" s="14"/>
      <c r="L177" s="14"/>
      <c r="M177" s="14"/>
    </row>
    <row r="178" spans="8:13" x14ac:dyDescent="0.3">
      <c r="H178" s="14"/>
      <c r="I178" s="14"/>
      <c r="J178" s="14"/>
      <c r="K178" s="14"/>
      <c r="L178" s="14"/>
      <c r="M178" s="14"/>
    </row>
    <row r="179" spans="8:13" x14ac:dyDescent="0.3">
      <c r="H179" s="14"/>
      <c r="I179" s="14"/>
      <c r="J179" s="14"/>
      <c r="K179" s="14"/>
      <c r="L179" s="14"/>
      <c r="M179" s="14"/>
    </row>
    <row r="180" spans="8:13" x14ac:dyDescent="0.3">
      <c r="H180" s="14"/>
      <c r="I180" s="14"/>
      <c r="J180" s="14"/>
      <c r="K180" s="14"/>
      <c r="L180" s="14"/>
      <c r="M180" s="14"/>
    </row>
    <row r="181" spans="8:13" x14ac:dyDescent="0.3">
      <c r="H181" s="14"/>
      <c r="I181" s="14"/>
      <c r="J181" s="14"/>
      <c r="K181" s="14"/>
      <c r="L181" s="14"/>
      <c r="M181" s="14"/>
    </row>
    <row r="182" spans="8:13" x14ac:dyDescent="0.3">
      <c r="H182" s="14"/>
      <c r="I182" s="14"/>
      <c r="J182" s="14"/>
      <c r="K182" s="14"/>
      <c r="L182" s="14"/>
      <c r="M182" s="14"/>
    </row>
    <row r="183" spans="8:13" x14ac:dyDescent="0.3">
      <c r="H183" s="14"/>
      <c r="I183" s="14"/>
      <c r="J183" s="14"/>
      <c r="K183" s="14"/>
      <c r="L183" s="14"/>
      <c r="M183" s="14"/>
    </row>
    <row r="184" spans="8:13" x14ac:dyDescent="0.3">
      <c r="H184" s="14"/>
      <c r="I184" s="14"/>
      <c r="J184" s="14"/>
      <c r="K184" s="14"/>
      <c r="L184" s="14"/>
      <c r="M184" s="14"/>
    </row>
    <row r="185" spans="8:13" x14ac:dyDescent="0.3">
      <c r="H185" s="14"/>
      <c r="I185" s="14"/>
      <c r="J185" s="14"/>
      <c r="K185" s="14"/>
      <c r="L185" s="14"/>
      <c r="M185" s="14"/>
    </row>
    <row r="186" spans="8:13" x14ac:dyDescent="0.3">
      <c r="H186" s="14"/>
      <c r="I186" s="14"/>
      <c r="J186" s="14"/>
      <c r="K186" s="14"/>
      <c r="L186" s="14"/>
      <c r="M186" s="14"/>
    </row>
    <row r="187" spans="8:13" x14ac:dyDescent="0.3">
      <c r="H187" s="14"/>
      <c r="I187" s="14"/>
      <c r="J187" s="14"/>
      <c r="K187" s="14"/>
      <c r="L187" s="14"/>
      <c r="M187" s="14"/>
    </row>
    <row r="188" spans="8:13" x14ac:dyDescent="0.3">
      <c r="H188" s="14"/>
      <c r="I188" s="14"/>
      <c r="J188" s="14"/>
      <c r="K188" s="14"/>
      <c r="L188" s="14"/>
      <c r="M188" s="14"/>
    </row>
    <row r="189" spans="8:13" x14ac:dyDescent="0.3">
      <c r="H189" s="14"/>
      <c r="I189" s="14"/>
      <c r="J189" s="14"/>
      <c r="K189" s="14"/>
      <c r="L189" s="14"/>
      <c r="M189" s="14"/>
    </row>
    <row r="190" spans="8:13" x14ac:dyDescent="0.3">
      <c r="H190" s="14"/>
      <c r="I190" s="14"/>
      <c r="J190" s="14"/>
      <c r="K190" s="14"/>
      <c r="L190" s="14"/>
      <c r="M190" s="14"/>
    </row>
    <row r="191" spans="8:13" x14ac:dyDescent="0.3">
      <c r="H191" s="14"/>
      <c r="I191" s="14"/>
      <c r="J191" s="14"/>
      <c r="K191" s="14"/>
      <c r="L191" s="14"/>
      <c r="M191" s="14"/>
    </row>
    <row r="192" spans="8:13" x14ac:dyDescent="0.3">
      <c r="H192" s="14"/>
      <c r="I192" s="14"/>
      <c r="J192" s="14"/>
      <c r="K192" s="14"/>
      <c r="L192" s="14"/>
      <c r="M192" s="14"/>
    </row>
    <row r="193" spans="8:13" x14ac:dyDescent="0.3">
      <c r="H193" s="14"/>
      <c r="I193" s="14"/>
      <c r="J193" s="14"/>
      <c r="K193" s="14"/>
      <c r="L193" s="14"/>
      <c r="M193" s="14"/>
    </row>
    <row r="194" spans="8:13" x14ac:dyDescent="0.3">
      <c r="H194" s="14"/>
      <c r="I194" s="14"/>
      <c r="J194" s="14"/>
      <c r="K194" s="14"/>
      <c r="L194" s="14"/>
      <c r="M194" s="14"/>
    </row>
    <row r="195" spans="8:13" x14ac:dyDescent="0.3">
      <c r="H195" s="14"/>
      <c r="I195" s="14"/>
      <c r="J195" s="14"/>
      <c r="K195" s="14"/>
      <c r="L195" s="14"/>
      <c r="M195" s="14"/>
    </row>
    <row r="196" spans="8:13" x14ac:dyDescent="0.3">
      <c r="H196" s="14"/>
      <c r="I196" s="14"/>
      <c r="J196" s="14"/>
      <c r="K196" s="14"/>
      <c r="L196" s="14"/>
      <c r="M196" s="14"/>
    </row>
    <row r="197" spans="8:13" x14ac:dyDescent="0.3">
      <c r="H197" s="14"/>
      <c r="I197" s="14"/>
      <c r="J197" s="14"/>
      <c r="K197" s="14"/>
      <c r="L197" s="14"/>
      <c r="M197" s="14"/>
    </row>
    <row r="198" spans="8:13" x14ac:dyDescent="0.3">
      <c r="H198" s="14"/>
      <c r="I198" s="14"/>
      <c r="J198" s="14"/>
      <c r="K198" s="14"/>
      <c r="L198" s="14"/>
      <c r="M198" s="14"/>
    </row>
    <row r="199" spans="8:13" x14ac:dyDescent="0.3">
      <c r="H199" s="14"/>
      <c r="I199" s="14"/>
      <c r="J199" s="14"/>
      <c r="K199" s="14"/>
      <c r="L199" s="14"/>
      <c r="M199" s="14"/>
    </row>
    <row r="200" spans="8:13" x14ac:dyDescent="0.3">
      <c r="H200" s="14"/>
      <c r="I200" s="14"/>
      <c r="J200" s="14"/>
      <c r="K200" s="14"/>
      <c r="L200" s="14"/>
      <c r="M200" s="14"/>
    </row>
    <row r="201" spans="8:13" x14ac:dyDescent="0.3">
      <c r="H201" s="14"/>
      <c r="I201" s="14"/>
      <c r="J201" s="14"/>
      <c r="K201" s="14"/>
      <c r="L201" s="14"/>
      <c r="M201" s="14"/>
    </row>
    <row r="202" spans="8:13" x14ac:dyDescent="0.3">
      <c r="H202" s="14"/>
      <c r="I202" s="14"/>
      <c r="J202" s="14"/>
      <c r="K202" s="14"/>
      <c r="L202" s="14"/>
      <c r="M202" s="14"/>
    </row>
    <row r="203" spans="8:13" x14ac:dyDescent="0.3">
      <c r="H203" s="14"/>
      <c r="I203" s="14"/>
      <c r="J203" s="14"/>
      <c r="K203" s="14"/>
      <c r="L203" s="14"/>
      <c r="M203" s="14"/>
    </row>
    <row r="204" spans="8:13" x14ac:dyDescent="0.3">
      <c r="H204" s="14"/>
      <c r="I204" s="14"/>
      <c r="J204" s="14"/>
      <c r="K204" s="14"/>
      <c r="L204" s="14"/>
      <c r="M204" s="14"/>
    </row>
    <row r="205" spans="8:13" x14ac:dyDescent="0.3">
      <c r="H205" s="14"/>
      <c r="I205" s="14"/>
      <c r="J205" s="14"/>
      <c r="K205" s="14"/>
      <c r="L205" s="14"/>
      <c r="M205" s="14"/>
    </row>
    <row r="206" spans="8:13" x14ac:dyDescent="0.3">
      <c r="H206" s="14"/>
      <c r="I206" s="14"/>
      <c r="J206" s="14"/>
      <c r="K206" s="14"/>
      <c r="L206" s="14"/>
      <c r="M206" s="14"/>
    </row>
    <row r="207" spans="8:13" x14ac:dyDescent="0.3">
      <c r="H207" s="14"/>
      <c r="I207" s="14"/>
      <c r="J207" s="14"/>
      <c r="K207" s="14"/>
      <c r="L207" s="14"/>
      <c r="M207" s="14"/>
    </row>
    <row r="208" spans="8:13" x14ac:dyDescent="0.3">
      <c r="H208" s="14"/>
      <c r="I208" s="14"/>
      <c r="J208" s="14"/>
      <c r="K208" s="14"/>
      <c r="L208" s="14"/>
      <c r="M208" s="14"/>
    </row>
    <row r="209" spans="8:13" x14ac:dyDescent="0.3">
      <c r="H209" s="14"/>
      <c r="I209" s="14"/>
      <c r="J209" s="14"/>
      <c r="K209" s="14"/>
      <c r="L209" s="14"/>
      <c r="M209" s="14"/>
    </row>
    <row r="210" spans="8:13" x14ac:dyDescent="0.3">
      <c r="H210" s="14"/>
      <c r="I210" s="14"/>
      <c r="J210" s="14"/>
      <c r="K210" s="14"/>
      <c r="L210" s="14"/>
      <c r="M210" s="14"/>
    </row>
    <row r="211" spans="8:13" x14ac:dyDescent="0.3">
      <c r="H211" s="14"/>
      <c r="I211" s="14"/>
      <c r="J211" s="14"/>
      <c r="K211" s="14"/>
      <c r="L211" s="14"/>
      <c r="M211" s="14"/>
    </row>
    <row r="212" spans="8:13" x14ac:dyDescent="0.3">
      <c r="H212" s="14"/>
      <c r="I212" s="14"/>
      <c r="J212" s="14"/>
      <c r="K212" s="14"/>
      <c r="L212" s="14"/>
      <c r="M212" s="14"/>
    </row>
    <row r="213" spans="8:13" x14ac:dyDescent="0.3">
      <c r="H213" s="14"/>
      <c r="I213" s="14"/>
      <c r="J213" s="14"/>
      <c r="K213" s="14"/>
      <c r="L213" s="14"/>
      <c r="M213" s="14"/>
    </row>
    <row r="214" spans="8:13" x14ac:dyDescent="0.3">
      <c r="H214" s="14"/>
      <c r="I214" s="14"/>
      <c r="J214" s="14"/>
      <c r="K214" s="14"/>
      <c r="L214" s="14"/>
      <c r="M214" s="14"/>
    </row>
    <row r="215" spans="8:13" x14ac:dyDescent="0.3">
      <c r="H215" s="14"/>
      <c r="I215" s="14"/>
      <c r="J215" s="14"/>
      <c r="K215" s="14"/>
      <c r="L215" s="14"/>
      <c r="M215" s="14"/>
    </row>
    <row r="216" spans="8:13" x14ac:dyDescent="0.3">
      <c r="H216" s="14"/>
      <c r="I216" s="14"/>
      <c r="J216" s="14"/>
      <c r="K216" s="14"/>
      <c r="L216" s="14"/>
      <c r="M216" s="14"/>
    </row>
    <row r="217" spans="8:13" x14ac:dyDescent="0.3">
      <c r="H217" s="14"/>
      <c r="I217" s="14"/>
      <c r="J217" s="14"/>
      <c r="K217" s="14"/>
      <c r="L217" s="14"/>
      <c r="M217" s="14"/>
    </row>
    <row r="218" spans="8:13" x14ac:dyDescent="0.3">
      <c r="H218" s="14"/>
      <c r="I218" s="14"/>
      <c r="J218" s="14"/>
      <c r="K218" s="14"/>
      <c r="L218" s="14"/>
      <c r="M218" s="14"/>
    </row>
    <row r="219" spans="8:13" x14ac:dyDescent="0.3">
      <c r="H219" s="14"/>
      <c r="I219" s="14"/>
      <c r="J219" s="14"/>
      <c r="K219" s="14"/>
      <c r="L219" s="14"/>
      <c r="M219" s="14"/>
    </row>
    <row r="220" spans="8:13" x14ac:dyDescent="0.3">
      <c r="H220" s="14"/>
      <c r="I220" s="14"/>
      <c r="J220" s="14"/>
      <c r="K220" s="14"/>
      <c r="L220" s="14"/>
      <c r="M220" s="14"/>
    </row>
    <row r="221" spans="8:13" x14ac:dyDescent="0.3">
      <c r="H221" s="14"/>
      <c r="I221" s="14"/>
      <c r="J221" s="14"/>
      <c r="K221" s="14"/>
      <c r="L221" s="14"/>
      <c r="M221" s="14"/>
    </row>
    <row r="222" spans="8:13" x14ac:dyDescent="0.3">
      <c r="H222" s="14"/>
      <c r="I222" s="14"/>
      <c r="J222" s="14"/>
      <c r="K222" s="14"/>
      <c r="L222" s="14"/>
      <c r="M222" s="14"/>
    </row>
    <row r="223" spans="8:13" x14ac:dyDescent="0.3">
      <c r="H223" s="14"/>
      <c r="I223" s="14"/>
      <c r="J223" s="14"/>
      <c r="K223" s="14"/>
      <c r="L223" s="14"/>
      <c r="M223" s="14"/>
    </row>
    <row r="224" spans="8:13" x14ac:dyDescent="0.3">
      <c r="H224" s="14"/>
      <c r="I224" s="14"/>
      <c r="J224" s="14"/>
      <c r="K224" s="14"/>
      <c r="L224" s="14"/>
      <c r="M224" s="14"/>
    </row>
    <row r="225" spans="8:13" x14ac:dyDescent="0.3">
      <c r="H225" s="14"/>
      <c r="I225" s="14"/>
      <c r="J225" s="14"/>
      <c r="K225" s="14"/>
      <c r="L225" s="14"/>
      <c r="M225" s="14"/>
    </row>
    <row r="226" spans="8:13" x14ac:dyDescent="0.3">
      <c r="H226" s="14"/>
      <c r="I226" s="14"/>
      <c r="J226" s="14"/>
      <c r="K226" s="14"/>
      <c r="L226" s="14"/>
      <c r="M226" s="14"/>
    </row>
    <row r="227" spans="8:13" x14ac:dyDescent="0.3">
      <c r="H227" s="14"/>
      <c r="I227" s="14"/>
      <c r="J227" s="14"/>
      <c r="K227" s="14"/>
      <c r="L227" s="14"/>
      <c r="M227" s="14"/>
    </row>
    <row r="228" spans="8:13" x14ac:dyDescent="0.3">
      <c r="H228" s="14"/>
      <c r="I228" s="14"/>
      <c r="J228" s="14"/>
      <c r="K228" s="14"/>
      <c r="L228" s="14"/>
      <c r="M228" s="14"/>
    </row>
    <row r="229" spans="8:13" x14ac:dyDescent="0.3">
      <c r="H229" s="14"/>
      <c r="I229" s="14"/>
      <c r="J229" s="14"/>
      <c r="K229" s="14"/>
      <c r="L229" s="14"/>
      <c r="M229" s="14"/>
    </row>
    <row r="230" spans="8:13" x14ac:dyDescent="0.3">
      <c r="H230" s="14"/>
      <c r="I230" s="14"/>
      <c r="J230" s="14"/>
      <c r="K230" s="14"/>
      <c r="L230" s="14"/>
      <c r="M230" s="14"/>
    </row>
    <row r="231" spans="8:13" x14ac:dyDescent="0.3">
      <c r="H231" s="14"/>
      <c r="I231" s="14"/>
      <c r="J231" s="14"/>
      <c r="K231" s="14"/>
      <c r="L231" s="14"/>
      <c r="M231" s="14"/>
    </row>
    <row r="232" spans="8:13" x14ac:dyDescent="0.3">
      <c r="H232" s="14"/>
      <c r="I232" s="14"/>
      <c r="J232" s="14"/>
      <c r="K232" s="14"/>
      <c r="L232" s="14"/>
      <c r="M232" s="14"/>
    </row>
    <row r="233" spans="8:13" x14ac:dyDescent="0.3">
      <c r="H233" s="14"/>
      <c r="I233" s="14"/>
      <c r="J233" s="14"/>
      <c r="K233" s="14"/>
      <c r="L233" s="14"/>
      <c r="M233" s="14"/>
    </row>
    <row r="234" spans="8:13" x14ac:dyDescent="0.3">
      <c r="H234" s="14"/>
      <c r="I234" s="14"/>
      <c r="J234" s="14"/>
      <c r="K234" s="14"/>
      <c r="L234" s="14"/>
      <c r="M234" s="14"/>
    </row>
    <row r="235" spans="8:13" x14ac:dyDescent="0.3">
      <c r="H235" s="14"/>
      <c r="I235" s="14"/>
      <c r="J235" s="14"/>
      <c r="K235" s="14"/>
      <c r="L235" s="14"/>
      <c r="M235" s="14"/>
    </row>
    <row r="236" spans="8:13" x14ac:dyDescent="0.3">
      <c r="H236" s="14"/>
      <c r="I236" s="14"/>
      <c r="J236" s="14"/>
      <c r="K236" s="14"/>
      <c r="L236" s="14"/>
      <c r="M236" s="14"/>
    </row>
    <row r="237" spans="8:13" x14ac:dyDescent="0.3">
      <c r="H237" s="14"/>
      <c r="I237" s="14"/>
      <c r="J237" s="14"/>
      <c r="K237" s="14"/>
      <c r="L237" s="14"/>
      <c r="M237" s="14"/>
    </row>
    <row r="238" spans="8:13" x14ac:dyDescent="0.3">
      <c r="H238" s="14"/>
      <c r="I238" s="14"/>
      <c r="J238" s="14"/>
      <c r="K238" s="14"/>
      <c r="L238" s="14"/>
      <c r="M238" s="14"/>
    </row>
    <row r="239" spans="8:13" x14ac:dyDescent="0.3">
      <c r="H239" s="14"/>
      <c r="I239" s="14"/>
      <c r="J239" s="14"/>
      <c r="K239" s="14"/>
      <c r="L239" s="14"/>
      <c r="M239" s="14"/>
    </row>
  </sheetData>
  <mergeCells count="1">
    <mergeCell ref="A1:N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Carvalho</dc:creator>
  <cp:lastModifiedBy>Stephanie Carvalho</cp:lastModifiedBy>
  <dcterms:created xsi:type="dcterms:W3CDTF">2025-09-03T15:16:16Z</dcterms:created>
  <dcterms:modified xsi:type="dcterms:W3CDTF">2025-12-22T19:50:18Z</dcterms:modified>
</cp:coreProperties>
</file>