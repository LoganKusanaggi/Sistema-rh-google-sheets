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o.rodrigues\Documents\Rodrigues\11. Automação Google Sheets\templates\"/>
    </mc:Choice>
  </mc:AlternateContent>
  <xr:revisionPtr revIDLastSave="0" documentId="13_ncr:1_{EF7D5982-AB37-44CE-AEE7-2EF84158225D}" xr6:coauthVersionLast="47" xr6:coauthVersionMax="47" xr10:uidLastSave="{00000000-0000-0000-0000-000000000000}"/>
  <bookViews>
    <workbookView xWindow="-120" yWindow="-120" windowWidth="24240" windowHeight="13140" xr2:uid="{296EFBD3-03AD-4C9E-8C0B-FF701C3C3DA3}"/>
  </bookViews>
  <sheets>
    <sheet name="PLANO SAÚDE" sheetId="1" r:id="rId1"/>
  </sheets>
  <definedNames>
    <definedName name="_xlnm._FilterDatabase" localSheetId="0" hidden="1">'PLANO SAÚDE'!$A$2:$L$96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" i="1" l="1"/>
  <c r="G96" i="1"/>
  <c r="H96" i="1" s="1"/>
  <c r="L95" i="1"/>
  <c r="G95" i="1"/>
  <c r="H95" i="1" s="1"/>
  <c r="L94" i="1"/>
  <c r="G94" i="1"/>
  <c r="H94" i="1" s="1"/>
  <c r="L93" i="1"/>
  <c r="G93" i="1"/>
  <c r="H93" i="1" s="1"/>
  <c r="G92" i="1"/>
  <c r="H92" i="1" s="1"/>
  <c r="L91" i="1"/>
  <c r="G91" i="1"/>
  <c r="H91" i="1" s="1"/>
  <c r="L90" i="1"/>
  <c r="G90" i="1"/>
  <c r="H90" i="1" s="1"/>
  <c r="L89" i="1"/>
  <c r="G89" i="1"/>
  <c r="H89" i="1" s="1"/>
  <c r="L88" i="1"/>
  <c r="G88" i="1"/>
  <c r="H88" i="1" s="1"/>
  <c r="L87" i="1"/>
  <c r="G87" i="1"/>
  <c r="H87" i="1" s="1"/>
  <c r="L86" i="1"/>
  <c r="G86" i="1"/>
  <c r="H86" i="1" s="1"/>
  <c r="L85" i="1"/>
  <c r="G85" i="1"/>
  <c r="H85" i="1" s="1"/>
  <c r="L84" i="1"/>
  <c r="G84" i="1"/>
  <c r="H84" i="1" s="1"/>
  <c r="L83" i="1"/>
  <c r="G83" i="1"/>
  <c r="H83" i="1" s="1"/>
  <c r="L82" i="1"/>
  <c r="G82" i="1"/>
  <c r="H82" i="1" s="1"/>
  <c r="L81" i="1"/>
  <c r="G81" i="1"/>
  <c r="H81" i="1" s="1"/>
  <c r="L80" i="1"/>
  <c r="G80" i="1"/>
  <c r="H80" i="1" s="1"/>
  <c r="L79" i="1"/>
  <c r="G79" i="1"/>
  <c r="H79" i="1" s="1"/>
  <c r="L78" i="1"/>
  <c r="G78" i="1"/>
  <c r="H78" i="1" s="1"/>
  <c r="L77" i="1"/>
  <c r="G77" i="1"/>
  <c r="H77" i="1" s="1"/>
  <c r="L76" i="1"/>
  <c r="G76" i="1"/>
  <c r="H76" i="1" s="1"/>
  <c r="L75" i="1"/>
  <c r="G75" i="1"/>
  <c r="H75" i="1" s="1"/>
  <c r="L74" i="1"/>
  <c r="G74" i="1"/>
  <c r="H74" i="1" s="1"/>
  <c r="L73" i="1"/>
  <c r="G73" i="1"/>
  <c r="H73" i="1" s="1"/>
  <c r="L72" i="1"/>
  <c r="G72" i="1"/>
  <c r="H72" i="1" s="1"/>
  <c r="L71" i="1"/>
  <c r="G71" i="1"/>
  <c r="H71" i="1" s="1"/>
  <c r="L70" i="1"/>
  <c r="G70" i="1"/>
  <c r="H70" i="1" s="1"/>
  <c r="L69" i="1"/>
  <c r="G69" i="1"/>
  <c r="H69" i="1" s="1"/>
  <c r="L68" i="1"/>
  <c r="G68" i="1"/>
  <c r="H68" i="1" s="1"/>
  <c r="L67" i="1"/>
  <c r="G67" i="1"/>
  <c r="H67" i="1" s="1"/>
  <c r="L66" i="1"/>
  <c r="G66" i="1"/>
  <c r="H66" i="1" s="1"/>
  <c r="L65" i="1"/>
  <c r="G65" i="1"/>
  <c r="H65" i="1" s="1"/>
  <c r="L64" i="1"/>
  <c r="G64" i="1"/>
  <c r="H64" i="1" s="1"/>
  <c r="L63" i="1"/>
  <c r="G63" i="1"/>
  <c r="H63" i="1" s="1"/>
  <c r="L62" i="1"/>
  <c r="G62" i="1"/>
  <c r="H62" i="1" s="1"/>
  <c r="L61" i="1"/>
  <c r="G61" i="1"/>
  <c r="H61" i="1" s="1"/>
  <c r="L60" i="1"/>
  <c r="G60" i="1"/>
  <c r="H60" i="1" s="1"/>
  <c r="G59" i="1"/>
  <c r="H59" i="1" s="1"/>
  <c r="L58" i="1"/>
  <c r="G58" i="1"/>
  <c r="H58" i="1" s="1"/>
  <c r="L57" i="1"/>
  <c r="G57" i="1"/>
  <c r="H57" i="1" s="1"/>
  <c r="L56" i="1"/>
  <c r="G56" i="1"/>
  <c r="H56" i="1" s="1"/>
  <c r="L55" i="1"/>
  <c r="G55" i="1"/>
  <c r="H55" i="1" s="1"/>
  <c r="L54" i="1"/>
  <c r="G54" i="1"/>
  <c r="H54" i="1" s="1"/>
  <c r="L53" i="1"/>
  <c r="G53" i="1"/>
  <c r="H53" i="1" s="1"/>
  <c r="L52" i="1"/>
  <c r="G52" i="1"/>
  <c r="H52" i="1" s="1"/>
  <c r="L51" i="1"/>
  <c r="G51" i="1"/>
  <c r="H51" i="1" s="1"/>
  <c r="L50" i="1"/>
  <c r="G50" i="1"/>
  <c r="H50" i="1" s="1"/>
  <c r="L49" i="1"/>
  <c r="G49" i="1"/>
  <c r="H49" i="1" s="1"/>
  <c r="G48" i="1"/>
  <c r="H48" i="1" s="1"/>
  <c r="L47" i="1"/>
  <c r="G47" i="1"/>
  <c r="H47" i="1" s="1"/>
  <c r="L46" i="1"/>
  <c r="G46" i="1"/>
  <c r="H46" i="1" s="1"/>
  <c r="L45" i="1"/>
  <c r="G45" i="1"/>
  <c r="H45" i="1" s="1"/>
  <c r="L44" i="1"/>
  <c r="G44" i="1"/>
  <c r="H44" i="1" s="1"/>
  <c r="G43" i="1"/>
  <c r="H43" i="1" s="1"/>
  <c r="L42" i="1"/>
  <c r="G42" i="1"/>
  <c r="H42" i="1" s="1"/>
  <c r="L41" i="1"/>
  <c r="G41" i="1"/>
  <c r="H41" i="1" s="1"/>
  <c r="L40" i="1"/>
  <c r="G40" i="1"/>
  <c r="H40" i="1" s="1"/>
  <c r="L39" i="1"/>
  <c r="G39" i="1"/>
  <c r="H39" i="1" s="1"/>
  <c r="L37" i="1"/>
  <c r="G37" i="1"/>
  <c r="H37" i="1" s="1"/>
  <c r="L36" i="1"/>
  <c r="G36" i="1"/>
  <c r="H36" i="1" s="1"/>
  <c r="L35" i="1"/>
  <c r="G35" i="1"/>
  <c r="H35" i="1" s="1"/>
  <c r="L34" i="1"/>
  <c r="G34" i="1"/>
  <c r="H34" i="1" s="1"/>
  <c r="G33" i="1"/>
  <c r="H33" i="1" s="1"/>
  <c r="L31" i="1"/>
  <c r="G31" i="1"/>
  <c r="H31" i="1" s="1"/>
  <c r="L30" i="1"/>
  <c r="G30" i="1"/>
  <c r="H30" i="1" s="1"/>
  <c r="L29" i="1"/>
  <c r="G29" i="1"/>
  <c r="H29" i="1" s="1"/>
  <c r="L28" i="1"/>
  <c r="G28" i="1"/>
  <c r="H28" i="1" s="1"/>
  <c r="L27" i="1"/>
  <c r="G27" i="1"/>
  <c r="H27" i="1" s="1"/>
  <c r="L26" i="1"/>
  <c r="G26" i="1"/>
  <c r="H26" i="1" s="1"/>
  <c r="L25" i="1"/>
  <c r="G25" i="1"/>
  <c r="H25" i="1" s="1"/>
  <c r="L24" i="1"/>
  <c r="G24" i="1"/>
  <c r="H24" i="1" s="1"/>
  <c r="G23" i="1"/>
  <c r="H23" i="1" s="1"/>
  <c r="L22" i="1"/>
  <c r="G22" i="1"/>
  <c r="H22" i="1" s="1"/>
  <c r="L21" i="1"/>
  <c r="G21" i="1"/>
  <c r="H21" i="1" s="1"/>
  <c r="L20" i="1"/>
  <c r="G20" i="1"/>
  <c r="H20" i="1" s="1"/>
  <c r="L19" i="1"/>
  <c r="G19" i="1"/>
  <c r="H19" i="1" s="1"/>
  <c r="L18" i="1"/>
  <c r="G18" i="1"/>
  <c r="H18" i="1" s="1"/>
  <c r="L17" i="1"/>
  <c r="G17" i="1"/>
  <c r="H17" i="1" s="1"/>
  <c r="G16" i="1"/>
  <c r="H16" i="1" s="1"/>
  <c r="L15" i="1"/>
  <c r="G15" i="1"/>
  <c r="H15" i="1" s="1"/>
  <c r="L14" i="1"/>
  <c r="G14" i="1"/>
  <c r="H14" i="1" s="1"/>
  <c r="L13" i="1"/>
  <c r="G13" i="1"/>
  <c r="H13" i="1" s="1"/>
  <c r="L12" i="1"/>
  <c r="G12" i="1"/>
  <c r="H12" i="1" s="1"/>
  <c r="L11" i="1"/>
  <c r="G11" i="1"/>
  <c r="H11" i="1" s="1"/>
  <c r="L10" i="1"/>
  <c r="G10" i="1"/>
  <c r="H10" i="1" s="1"/>
  <c r="L9" i="1"/>
  <c r="G9" i="1"/>
  <c r="H9" i="1" s="1"/>
  <c r="L8" i="1"/>
  <c r="G8" i="1"/>
  <c r="H8" i="1" s="1"/>
  <c r="L7" i="1"/>
  <c r="G7" i="1"/>
  <c r="H7" i="1" s="1"/>
  <c r="L6" i="1"/>
  <c r="G6" i="1"/>
  <c r="H6" i="1" s="1"/>
  <c r="L5" i="1"/>
  <c r="G5" i="1"/>
  <c r="H5" i="1" s="1"/>
  <c r="L4" i="1"/>
  <c r="G4" i="1"/>
  <c r="H4" i="1" s="1"/>
  <c r="L3" i="1"/>
  <c r="G3" i="1"/>
  <c r="H3" i="1" s="1"/>
</calcChain>
</file>

<file path=xl/sharedStrings.xml><?xml version="1.0" encoding="utf-8"?>
<sst xmlns="http://schemas.openxmlformats.org/spreadsheetml/2006/main" count="395" uniqueCount="207">
  <si>
    <t>PLANO DE SAÚDE</t>
  </si>
  <si>
    <t>N° MATRÍCULA</t>
  </si>
  <si>
    <t>BENEFICIÁRIO</t>
  </si>
  <si>
    <t>CPF</t>
  </si>
  <si>
    <t>PLANO</t>
  </si>
  <si>
    <t>TIPO</t>
  </si>
  <si>
    <t>DN</t>
  </si>
  <si>
    <t>IDADE</t>
  </si>
  <si>
    <t>FAIXA ETÁRIA</t>
  </si>
  <si>
    <t>DEPENDÊNCIA</t>
  </si>
  <si>
    <t>INCLUSÃO</t>
  </si>
  <si>
    <t>VALOR 100%</t>
  </si>
  <si>
    <t>VALOR A COBRAR</t>
  </si>
  <si>
    <t>ALICE BASTOS CAMPOS</t>
  </si>
  <si>
    <t>066.402.405-05</t>
  </si>
  <si>
    <t>AMIL S580 QP NAC R PJ</t>
  </si>
  <si>
    <t>ALINE SOUZA BARROSO SANTOS</t>
  </si>
  <si>
    <t>861.247.275-01</t>
  </si>
  <si>
    <t>AMIL S750 R2 QP NAC PJ</t>
  </si>
  <si>
    <t>ALLAN RODRIGO GOMES COSTA</t>
  </si>
  <si>
    <t>055.200.765-02</t>
  </si>
  <si>
    <t>AMANDA BORGES CORDEIRO CARNEIRO</t>
  </si>
  <si>
    <t>861.551.735-59</t>
  </si>
  <si>
    <t>AMANDA DE JESUS PAIXAO</t>
  </si>
  <si>
    <t>059.397.465-43</t>
  </si>
  <si>
    <t>ANNA CAROLINA REIS LEAO</t>
  </si>
  <si>
    <t>042.409.775-33</t>
  </si>
  <si>
    <t>ANTONIO FERREIRA DE SOUSA NETO</t>
  </si>
  <si>
    <t>075.194.615-05</t>
  </si>
  <si>
    <t>ARTUR OLIVEIRA SANTOS</t>
  </si>
  <si>
    <t>038.297.705-02</t>
  </si>
  <si>
    <t>BIANCA FREITAS ANDRADE</t>
  </si>
  <si>
    <t>040.396.805-45</t>
  </si>
  <si>
    <t>BEATRIZ ROSENTINA DOS SANTOS COSTA</t>
  </si>
  <si>
    <t>048.615.415-73</t>
  </si>
  <si>
    <t>BIANCA MEIRELES VIEIRA</t>
  </si>
  <si>
    <t>857.686.035-06</t>
  </si>
  <si>
    <t>BRUNNA STEFANY SILVA BALIZA</t>
  </si>
  <si>
    <t>063.832.825-06</t>
  </si>
  <si>
    <t>BRUNO ALCANTARA DA COSTA PENNA</t>
  </si>
  <si>
    <t>018.944.705-24</t>
  </si>
  <si>
    <t>BRUNO MENDES PENNA</t>
  </si>
  <si>
    <t>178.114.394-33</t>
  </si>
  <si>
    <t>Filho/Filha</t>
  </si>
  <si>
    <t>CAIO VINICIOS RODRIGUES SANTANA DE JESUS</t>
  </si>
  <si>
    <t>092.449.425-50</t>
  </si>
  <si>
    <t>BRENO TORREAO GANGUR DOS SANTOS</t>
  </si>
  <si>
    <t>065.111.215-00</t>
  </si>
  <si>
    <t>CAIO VINICIUS SANTOS LOPES</t>
  </si>
  <si>
    <t>041.824.915-64</t>
  </si>
  <si>
    <t>CARLOS PHILLIPE ASSIS BLOOM</t>
  </si>
  <si>
    <t>084.412.235-13</t>
  </si>
  <si>
    <t>CAROLAINE RIBEIRO DOS SANTOS</t>
  </si>
  <si>
    <t>075.980.125-80</t>
  </si>
  <si>
    <t>CARLOS MANOEL ANDRADE DE QUEIROZ</t>
  </si>
  <si>
    <t>058.097.815-00</t>
  </si>
  <si>
    <t>CAUA DE OLIVEIRA BARBOSA</t>
  </si>
  <si>
    <t>600.816.498-94</t>
  </si>
  <si>
    <t>DANILO DE JESUS LIMA</t>
  </si>
  <si>
    <t>857.836.875-45</t>
  </si>
  <si>
    <t>EDUARDO BAHIA BOAVENTURA CARNEIRO</t>
  </si>
  <si>
    <t>052.758.775-36</t>
  </si>
  <si>
    <t>DEMERVAL DOS SANTOS JUNIOR</t>
  </si>
  <si>
    <t>859.766.495-99</t>
  </si>
  <si>
    <t>DIEGO MOURA IGLESIAS</t>
  </si>
  <si>
    <t>017.891.905-50</t>
  </si>
  <si>
    <t>FERNANDA AMORIM CARDOSO</t>
  </si>
  <si>
    <t>049.374.335-98</t>
  </si>
  <si>
    <t>FERNANDO TAKAHASHI PAULON</t>
  </si>
  <si>
    <t>455.235.978-99</t>
  </si>
  <si>
    <t>GUSTAVO ARAUJO MACHADO</t>
  </si>
  <si>
    <t>069.111.585-08</t>
  </si>
  <si>
    <t>GUSTAVO COSTA CHAVES</t>
  </si>
  <si>
    <t>048.394.185-94</t>
  </si>
  <si>
    <t>HUMBERTO RODRIGUES DA SILVA</t>
  </si>
  <si>
    <t>091.814.905-34</t>
  </si>
  <si>
    <t>ISABEL GUIMARAES MOREIRA VIENA</t>
  </si>
  <si>
    <t>070.350.685-46</t>
  </si>
  <si>
    <t>Conjuge</t>
  </si>
  <si>
    <t>ERIC DE SAO PEDRO SANTOS</t>
  </si>
  <si>
    <t>049.207.615-46</t>
  </si>
  <si>
    <t>FELIPE CALDAS ALVES</t>
  </si>
  <si>
    <t>019.084.235-01</t>
  </si>
  <si>
    <t>GABRIEL CERQUEIRA NUNES DOS SANTOS</t>
  </si>
  <si>
    <t>072.375.645-79</t>
  </si>
  <si>
    <t>IVAN BACHIEGGA MOREIRA</t>
  </si>
  <si>
    <t>382.242.438-26</t>
  </si>
  <si>
    <t>JANAINA DE SOUSA SILVA</t>
  </si>
  <si>
    <t>170.379.967-42</t>
  </si>
  <si>
    <t>JOSEAN PINTO DE ALMEIDA NETO</t>
  </si>
  <si>
    <t>035.163.245-03</t>
  </si>
  <si>
    <t>JENIFER DOS SANTOS ROCHA NERI</t>
  </si>
  <si>
    <t>059.864.595-04</t>
  </si>
  <si>
    <t>JORGE ROCHA LOUZADA FILHO</t>
  </si>
  <si>
    <t>068.557.875-50</t>
  </si>
  <si>
    <t>KEVIN MEIRA LIMA</t>
  </si>
  <si>
    <t>859.348.405-09</t>
  </si>
  <si>
    <t>LAIS ORRICO MENDES</t>
  </si>
  <si>
    <t>033.289.875-09</t>
  </si>
  <si>
    <t>LAISA DA COSTA SANTOS</t>
  </si>
  <si>
    <t>060.310.944-60</t>
  </si>
  <si>
    <t>LARISSA ALMEIDA CADAMURO</t>
  </si>
  <si>
    <t>859.199.515-59</t>
  </si>
  <si>
    <t>LARISSA DE OLIVEIRA BASTOS</t>
  </si>
  <si>
    <t>043.028.115-36</t>
  </si>
  <si>
    <t>JOSE GABRIEL RAMOS AMARAL</t>
  </si>
  <si>
    <t>859.431.455-83</t>
  </si>
  <si>
    <t>LEONARDO ENEIAS CARDOSO BLOOM</t>
  </si>
  <si>
    <t>050.763.315-68</t>
  </si>
  <si>
    <t>LEONARDO SIMONI CASTRO</t>
  </si>
  <si>
    <t>058.032.305-61</t>
  </si>
  <si>
    <t>LETICIA YURIE KUAE</t>
  </si>
  <si>
    <t>366.707.448-46</t>
  </si>
  <si>
    <t>JULIANA DE OLIVEIRA DIAS CALDEIRA</t>
  </si>
  <si>
    <t>050.583.815-08</t>
  </si>
  <si>
    <t>LUANA SOUZA ROCHA</t>
  </si>
  <si>
    <t>047.460.145-58</t>
  </si>
  <si>
    <t>LUCAS IANSEN GIOMELLARO</t>
  </si>
  <si>
    <t>510.590.938-04</t>
  </si>
  <si>
    <t>LUCAS REIS CONCEICAO</t>
  </si>
  <si>
    <t>026.978.385-70</t>
  </si>
  <si>
    <t>KAROLINE MOREIRA DA SILVA</t>
  </si>
  <si>
    <t>074.743.235-08</t>
  </si>
  <si>
    <t>LUCCA DE ARAUJO LINHARES CIRNE</t>
  </si>
  <si>
    <t>085.954.075-84</t>
  </si>
  <si>
    <t>LENISE OLIVEIRA MUNFORD RIBEIRO</t>
  </si>
  <si>
    <t>052.179.005-04</t>
  </si>
  <si>
    <t>LORENA DE ASSIS RIBEIRO</t>
  </si>
  <si>
    <t>051.881.845-40</t>
  </si>
  <si>
    <t>MADALENA PAIXAO BACHIEGGA</t>
  </si>
  <si>
    <t>129.380.485-13</t>
  </si>
  <si>
    <t>LUANA COSTA CYSNEIROS</t>
  </si>
  <si>
    <t>065.895.645-07</t>
  </si>
  <si>
    <t>MARCELO DURAES MARTINS</t>
  </si>
  <si>
    <t>021.993.805-99</t>
  </si>
  <si>
    <t>LUCAS SOUZA RAMOS</t>
  </si>
  <si>
    <t>404.911.168-37</t>
  </si>
  <si>
    <t>MARIA EDUARDA PINHEIRO SALGADO</t>
  </si>
  <si>
    <t>512.931.178-70</t>
  </si>
  <si>
    <t>LUDMYLA SOUSA SANTOS</t>
  </si>
  <si>
    <t>134.324.294-01</t>
  </si>
  <si>
    <t>MARIA LUCIA FIGUEIREDO SOARES MELLO</t>
  </si>
  <si>
    <t>028.920.275-27</t>
  </si>
  <si>
    <t>LUMA MASCARENHAS DA SILVA</t>
  </si>
  <si>
    <t>015.564.135-21</t>
  </si>
  <si>
    <t>MARIA VITORIA SALES DE ALMEIDA PRADO</t>
  </si>
  <si>
    <t>017.754.815-06</t>
  </si>
  <si>
    <t>MARIANA SOARES MACEDO DOS SANTOS</t>
  </si>
  <si>
    <t>067.076.115-00</t>
  </si>
  <si>
    <t>MATEUS DIAS SANTANA DA SILVA</t>
  </si>
  <si>
    <t>025.303.405-10</t>
  </si>
  <si>
    <t>MATHEUS GABRIEL CUNHA DOS SANTOS</t>
  </si>
  <si>
    <t>503.099.138-70</t>
  </si>
  <si>
    <t>MATHEUS MOURA BAHIA</t>
  </si>
  <si>
    <t>064.060.865-54</t>
  </si>
  <si>
    <t>MAXWELL FARUK LUZ DE JESUS</t>
  </si>
  <si>
    <t>026.844.915-50</t>
  </si>
  <si>
    <t>MARCELLA CHRISTAO MAZÃO</t>
  </si>
  <si>
    <t>389.082.248-74</t>
  </si>
  <si>
    <t>MARIA CLARA ARGOLO DE LUNA</t>
  </si>
  <si>
    <t>028.869.615-82</t>
  </si>
  <si>
    <t>MARIA JULIA SAMPAIO TEIXEIRA</t>
  </si>
  <si>
    <t>065.115.575-45</t>
  </si>
  <si>
    <t>MILLA BEZERRA DAMASCENO</t>
  </si>
  <si>
    <t>012.141.415-95</t>
  </si>
  <si>
    <t>MURILO SANTOS ALLAN DE OLIVEIRA</t>
  </si>
  <si>
    <t>036.538.105-58</t>
  </si>
  <si>
    <t>MARINA BRANDAO MAIA QUEIROZ</t>
  </si>
  <si>
    <t>053.656.165-61</t>
  </si>
  <si>
    <t>MELINA MENDONCA CANARIO</t>
  </si>
  <si>
    <t>859.340.355-76</t>
  </si>
  <si>
    <t>MICHELE OLIVEIRA NASCIMENTO</t>
  </si>
  <si>
    <t>033.385.405-58</t>
  </si>
  <si>
    <t>RENATA PIRES MAGALHAES</t>
  </si>
  <si>
    <t>064.024.465-30</t>
  </si>
  <si>
    <t>RENATO DA SILVA BARBOSA</t>
  </si>
  <si>
    <t>089.281.704-60</t>
  </si>
  <si>
    <t>RODRIGO ZUANNY CARVALHO</t>
  </si>
  <si>
    <t>084.920.685-58</t>
  </si>
  <si>
    <t>MILENA TAVARES DE FREITAS</t>
  </si>
  <si>
    <t>046.602.205-08</t>
  </si>
  <si>
    <t>NATHALIA PEIXOTO CORREIA</t>
  </si>
  <si>
    <t>061.975.335-88</t>
  </si>
  <si>
    <t>PAULO CESAR OLIVEIRA SANTOS</t>
  </si>
  <si>
    <t>061.248.815-27</t>
  </si>
  <si>
    <t>TAIS SILVEIRA SA OLIVEIRA</t>
  </si>
  <si>
    <t>841.095.565-20</t>
  </si>
  <si>
    <t>PRISCILA PEIXINHO BAHIA</t>
  </si>
  <si>
    <t>048.706.185-32</t>
  </si>
  <si>
    <t>VICTOR COLARES SARMENTO DE ARAUJO</t>
  </si>
  <si>
    <t>045.073.995-30</t>
  </si>
  <si>
    <t>YASMIN CADE DE SENA BRITO</t>
  </si>
  <si>
    <t>052.583.135-57</t>
  </si>
  <si>
    <t>RENATA DE SOUZA LEAL</t>
  </si>
  <si>
    <t>334.072.958-12</t>
  </si>
  <si>
    <t>CAROLAINE SILVA SOUSA DE OLIVEIRA</t>
  </si>
  <si>
    <t>007.893.035-90</t>
  </si>
  <si>
    <t xml:space="preserve">AMANDA BORGES CORDEIRO CARNEIRO </t>
  </si>
  <si>
    <t>861.551.735.59</t>
  </si>
  <si>
    <t>VANESSA PASSOS FERREIRA</t>
  </si>
  <si>
    <t>784.929.985-04</t>
  </si>
  <si>
    <t xml:space="preserve">MARIANA CARIBE MEIRELES </t>
  </si>
  <si>
    <t>013.327.655-48</t>
  </si>
  <si>
    <t>YLA ANDRADE BATISTA</t>
  </si>
  <si>
    <t>066.435.615-07</t>
  </si>
  <si>
    <t>TITULAR</t>
  </si>
  <si>
    <t>DEPENDENTE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</si>
</sst>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2" fontId="3" fillId="0" borderId="0" xfId="0" applyNumberFormat="1" applyFont="1"/>
    <xf numFmtId="0" fontId="4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" fontId="7" fillId="0" borderId="5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79187-FA6C-49F7-8E19-F2F33C128405}" name="tb_pSaude" displayName="tb_pSaude" ref="A2:L96" totalsRowShown="0" headerRowDxfId="0" dataDxfId="1">
  <autoFilter ref="A2:L96" xr:uid="{00000000-0009-0000-0000-000004000000}"/>
  <sortState xmlns:xlrd2="http://schemas.microsoft.com/office/spreadsheetml/2017/richdata2" ref="A2:L96">
    <sortCondition ref="B2:B96"/>
  </sortState>
  <tableColumns count="12">
    <tableColumn id="1" xr3:uid="{1F571752-F621-4BC8-A9F5-3BC7599F4B25}" name="N° MATRÍCULA" dataDxfId="13"/>
    <tableColumn id="2" xr3:uid="{A56E4AAA-4E81-4341-9E26-85F1FC9BBBCA}" name="BENEFICIÁRIO" dataDxfId="12"/>
    <tableColumn id="3" xr3:uid="{AF8C69B1-48D5-4FDE-8705-4A70062F80C1}" name="CPF" dataDxfId="11"/>
    <tableColumn id="4" xr3:uid="{88CB41E8-B291-478B-9901-DB3F2CD1491B}" name="PLANO" dataDxfId="10"/>
    <tableColumn id="5" xr3:uid="{B49ECB16-B76E-4C49-8152-D74CE68BB04D}" name="TIPO" dataDxfId="9"/>
    <tableColumn id="6" xr3:uid="{893641C5-AF0A-45AE-859D-C98E80D62B07}" name="DN" dataDxfId="8"/>
    <tableColumn id="7" xr3:uid="{AA67E51B-547D-4B2D-8A04-A2B79BEB9DD9}" name="IDADE" dataDxfId="7">
      <calculatedColumnFormula>DATEDIF(F3,TODAY(),"Y")</calculatedColumnFormula>
    </tableColumn>
    <tableColumn id="8" xr3:uid="{BAC34C94-D78E-468A-BAFF-40F62759960D}" name="FAIXA ETÁRIA" dataDxfId="6">
      <calculatedColumnFormula>IF($G3&lt;=18,"0-18",
IF($G3&lt;=23,"19-23",
IF($G3&lt;=28,"24-28",
IF($G3&lt;=33,"29-33",
IF($G3&lt;=38,"34-38",
IF($G3&lt;=43,"39-43",
IF($G3&lt;=48,"44-48",
IF($G3&lt;=53,"49-53",
IF($G3&lt;=58,"54-58","59 ou mais"
)))))))))</calculatedColumnFormula>
    </tableColumn>
    <tableColumn id="9" xr3:uid="{5BBD401A-5EC5-408E-B663-410B2E20EDE0}" name="DEPENDÊNCIA" dataDxfId="5"/>
    <tableColumn id="10" xr3:uid="{16AE10F7-82B5-4BB1-94BF-323C4CCE1899}" name="INCLUSÃO" dataDxfId="4"/>
    <tableColumn id="11" xr3:uid="{BD1437A1-9C44-45AC-B1BE-C3E3067B282B}" name="VALOR 100%" dataDxfId="3"/>
    <tableColumn id="12" xr3:uid="{AE8FFB8C-8443-45AA-96E6-692086584A7D}" name="VALOR A COBRAR" dataDxfId="2">
      <calculatedColumnFormula>K3*20%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1DBF-FB3A-423F-9AD7-A5114234935D}">
  <sheetPr>
    <outlinePr summaryBelow="0" summaryRight="0"/>
  </sheetPr>
  <dimension ref="A1:Y1000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2.5703125" defaultRowHeight="12.75" x14ac:dyDescent="0.2"/>
  <cols>
    <col min="1" max="1" width="23" bestFit="1" customWidth="1"/>
    <col min="2" max="2" width="42.85546875" bestFit="1" customWidth="1"/>
    <col min="3" max="3" width="14" bestFit="1" customWidth="1"/>
    <col min="4" max="4" width="22.42578125" bestFit="1" customWidth="1"/>
    <col min="5" max="5" width="12.5703125" bestFit="1" customWidth="1"/>
    <col min="6" max="6" width="10.7109375" bestFit="1" customWidth="1"/>
    <col min="7" max="7" width="12.85546875" bestFit="1" customWidth="1"/>
    <col min="8" max="8" width="21.85546875" bestFit="1" customWidth="1"/>
    <col min="9" max="9" width="22.28515625" bestFit="1" customWidth="1"/>
    <col min="10" max="10" width="17.28515625" bestFit="1" customWidth="1"/>
    <col min="11" max="11" width="20" bestFit="1" customWidth="1"/>
    <col min="12" max="12" width="26.5703125" bestFit="1" customWidth="1"/>
    <col min="13" max="29" width="12.85546875" customWidth="1"/>
  </cols>
  <sheetData>
    <row r="1" spans="1:25" ht="19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 spans="1:25" ht="15.75" x14ac:dyDescent="0.2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6" t="s">
        <v>11</v>
      </c>
      <c r="L2" s="8" t="s">
        <v>12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5" x14ac:dyDescent="0.25">
      <c r="A3" s="10">
        <v>95445935</v>
      </c>
      <c r="B3" s="11" t="s">
        <v>13</v>
      </c>
      <c r="C3" s="10" t="s">
        <v>14</v>
      </c>
      <c r="D3" s="11" t="s">
        <v>15</v>
      </c>
      <c r="E3" s="10" t="s">
        <v>205</v>
      </c>
      <c r="F3" s="12">
        <v>34595</v>
      </c>
      <c r="G3" s="10">
        <f t="shared" ref="G3:G31" ca="1" si="0">DATEDIF(F3,TODAY(),"Y")</f>
        <v>31</v>
      </c>
      <c r="H3" s="10" t="str">
        <f t="shared" ref="H3:H31" ca="1" si="1">IF($G3&lt;=18,"0-18",
IF($G3&lt;=23,"19-23",
IF($G3&lt;=28,"24-28",
IF($G3&lt;=33,"29-33",
IF($G3&lt;=38,"34-38",
IF($G3&lt;=43,"39-43",
IF($G3&lt;=48,"44-48",
IF($G3&lt;=53,"49-53",
IF($G3&lt;=58,"54-58","59 ou mais"
)))))))))</f>
        <v>29-33</v>
      </c>
      <c r="I3" s="10"/>
      <c r="J3" s="13">
        <v>45926</v>
      </c>
      <c r="K3" s="10">
        <v>984.21</v>
      </c>
      <c r="L3" s="14">
        <f t="shared" ref="L3:L15" si="2">K3*20%</f>
        <v>196.84200000000001</v>
      </c>
    </row>
    <row r="4" spans="1:25" ht="15" x14ac:dyDescent="0.25">
      <c r="A4" s="10">
        <v>95445942</v>
      </c>
      <c r="B4" s="11" t="s">
        <v>16</v>
      </c>
      <c r="C4" s="10" t="s">
        <v>17</v>
      </c>
      <c r="D4" s="11" t="s">
        <v>18</v>
      </c>
      <c r="E4" s="10" t="s">
        <v>205</v>
      </c>
      <c r="F4" s="12">
        <v>35952</v>
      </c>
      <c r="G4" s="10">
        <f t="shared" ca="1" si="0"/>
        <v>27</v>
      </c>
      <c r="H4" s="10" t="str">
        <f t="shared" ca="1" si="1"/>
        <v>24-28</v>
      </c>
      <c r="I4" s="10"/>
      <c r="J4" s="13">
        <v>45926</v>
      </c>
      <c r="K4" s="10">
        <v>941.13</v>
      </c>
      <c r="L4" s="14">
        <f t="shared" si="2"/>
        <v>188.226</v>
      </c>
    </row>
    <row r="5" spans="1:25" ht="15" x14ac:dyDescent="0.25">
      <c r="A5" s="10">
        <v>95445977</v>
      </c>
      <c r="B5" s="11" t="s">
        <v>19</v>
      </c>
      <c r="C5" s="10" t="s">
        <v>20</v>
      </c>
      <c r="D5" s="11" t="s">
        <v>15</v>
      </c>
      <c r="E5" s="10" t="s">
        <v>205</v>
      </c>
      <c r="F5" s="12">
        <v>33653</v>
      </c>
      <c r="G5" s="10">
        <f t="shared" ca="1" si="0"/>
        <v>33</v>
      </c>
      <c r="H5" s="10" t="str">
        <f t="shared" ca="1" si="1"/>
        <v>29-33</v>
      </c>
      <c r="I5" s="10"/>
      <c r="J5" s="13">
        <v>45926</v>
      </c>
      <c r="K5" s="10">
        <v>984.21</v>
      </c>
      <c r="L5" s="14">
        <f t="shared" si="2"/>
        <v>196.84200000000001</v>
      </c>
    </row>
    <row r="6" spans="1:25" ht="15" x14ac:dyDescent="0.25">
      <c r="A6" s="10">
        <v>93493642</v>
      </c>
      <c r="B6" s="11" t="s">
        <v>21</v>
      </c>
      <c r="C6" s="10" t="s">
        <v>22</v>
      </c>
      <c r="D6" s="11" t="s">
        <v>18</v>
      </c>
      <c r="E6" s="10" t="s">
        <v>205</v>
      </c>
      <c r="F6" s="12">
        <v>35709</v>
      </c>
      <c r="G6" s="10">
        <f t="shared" ca="1" si="0"/>
        <v>28</v>
      </c>
      <c r="H6" s="10" t="str">
        <f t="shared" ca="1" si="1"/>
        <v>24-28</v>
      </c>
      <c r="I6" s="10"/>
      <c r="J6" s="13">
        <v>45705</v>
      </c>
      <c r="K6" s="15">
        <v>941.13</v>
      </c>
      <c r="L6" s="14">
        <f t="shared" si="2"/>
        <v>188.226</v>
      </c>
    </row>
    <row r="7" spans="1:25" ht="15" x14ac:dyDescent="0.25">
      <c r="A7" s="10">
        <v>95446002</v>
      </c>
      <c r="B7" s="11" t="s">
        <v>23</v>
      </c>
      <c r="C7" s="10" t="s">
        <v>24</v>
      </c>
      <c r="D7" s="11" t="s">
        <v>15</v>
      </c>
      <c r="E7" s="10" t="s">
        <v>205</v>
      </c>
      <c r="F7" s="12">
        <v>34557</v>
      </c>
      <c r="G7" s="10">
        <f t="shared" ca="1" si="0"/>
        <v>31</v>
      </c>
      <c r="H7" s="10" t="str">
        <f t="shared" ca="1" si="1"/>
        <v>29-33</v>
      </c>
      <c r="I7" s="10"/>
      <c r="J7" s="13">
        <v>45926</v>
      </c>
      <c r="K7" s="10">
        <v>984.21</v>
      </c>
      <c r="L7" s="14">
        <f t="shared" si="2"/>
        <v>196.84200000000001</v>
      </c>
    </row>
    <row r="8" spans="1:25" ht="15" x14ac:dyDescent="0.25">
      <c r="A8" s="10">
        <v>95445925</v>
      </c>
      <c r="B8" s="11" t="s">
        <v>25</v>
      </c>
      <c r="C8" s="10" t="s">
        <v>26</v>
      </c>
      <c r="D8" s="11" t="s">
        <v>15</v>
      </c>
      <c r="E8" s="10" t="s">
        <v>205</v>
      </c>
      <c r="F8" s="12">
        <v>36563</v>
      </c>
      <c r="G8" s="10">
        <f t="shared" ca="1" si="0"/>
        <v>25</v>
      </c>
      <c r="H8" s="10" t="str">
        <f t="shared" ca="1" si="1"/>
        <v>24-28</v>
      </c>
      <c r="I8" s="10"/>
      <c r="J8" s="13">
        <v>45926</v>
      </c>
      <c r="K8" s="10">
        <v>820.18</v>
      </c>
      <c r="L8" s="14">
        <f t="shared" si="2"/>
        <v>164.036</v>
      </c>
    </row>
    <row r="9" spans="1:25" ht="15" x14ac:dyDescent="0.25">
      <c r="A9" s="10">
        <v>95445965</v>
      </c>
      <c r="B9" s="11" t="s">
        <v>27</v>
      </c>
      <c r="C9" s="10" t="s">
        <v>28</v>
      </c>
      <c r="D9" s="11" t="s">
        <v>18</v>
      </c>
      <c r="E9" s="10" t="s">
        <v>205</v>
      </c>
      <c r="F9" s="12">
        <v>35635</v>
      </c>
      <c r="G9" s="10">
        <f t="shared" ca="1" si="0"/>
        <v>28</v>
      </c>
      <c r="H9" s="10" t="str">
        <f t="shared" ca="1" si="1"/>
        <v>24-28</v>
      </c>
      <c r="I9" s="10"/>
      <c r="J9" s="13">
        <v>45926</v>
      </c>
      <c r="K9" s="10">
        <v>941.13</v>
      </c>
      <c r="L9" s="14">
        <f t="shared" si="2"/>
        <v>188.226</v>
      </c>
    </row>
    <row r="10" spans="1:25" ht="15" x14ac:dyDescent="0.25">
      <c r="A10" s="10">
        <v>95498541</v>
      </c>
      <c r="B10" s="11" t="s">
        <v>29</v>
      </c>
      <c r="C10" s="10" t="s">
        <v>30</v>
      </c>
      <c r="D10" s="11" t="s">
        <v>15</v>
      </c>
      <c r="E10" s="10" t="s">
        <v>205</v>
      </c>
      <c r="F10" s="12">
        <v>34227</v>
      </c>
      <c r="G10" s="10">
        <f t="shared" ca="1" si="0"/>
        <v>32</v>
      </c>
      <c r="H10" s="10" t="str">
        <f t="shared" ca="1" si="1"/>
        <v>29-33</v>
      </c>
      <c r="I10" s="10"/>
      <c r="J10" s="13">
        <v>45932</v>
      </c>
      <c r="K10" s="10">
        <v>984.21</v>
      </c>
      <c r="L10" s="14">
        <f t="shared" si="2"/>
        <v>196.84200000000001</v>
      </c>
    </row>
    <row r="11" spans="1:25" ht="15" x14ac:dyDescent="0.25">
      <c r="A11" s="10">
        <v>95445946</v>
      </c>
      <c r="B11" s="11" t="s">
        <v>31</v>
      </c>
      <c r="C11" s="10" t="s">
        <v>32</v>
      </c>
      <c r="D11" s="11" t="s">
        <v>18</v>
      </c>
      <c r="E11" s="10" t="s">
        <v>205</v>
      </c>
      <c r="F11" s="16">
        <v>32799</v>
      </c>
      <c r="G11" s="10">
        <f t="shared" ca="1" si="0"/>
        <v>36</v>
      </c>
      <c r="H11" s="10" t="str">
        <f t="shared" ca="1" si="1"/>
        <v>34-38</v>
      </c>
      <c r="I11" s="10"/>
      <c r="J11" s="13">
        <v>45926</v>
      </c>
      <c r="K11" s="17">
        <v>1185.82</v>
      </c>
      <c r="L11" s="14">
        <f t="shared" si="2"/>
        <v>237.16399999999999</v>
      </c>
    </row>
    <row r="12" spans="1:25" ht="15" x14ac:dyDescent="0.25">
      <c r="A12" s="10">
        <v>95445932</v>
      </c>
      <c r="B12" s="11" t="s">
        <v>33</v>
      </c>
      <c r="C12" s="10" t="s">
        <v>34</v>
      </c>
      <c r="D12" s="11" t="s">
        <v>15</v>
      </c>
      <c r="E12" s="10" t="s">
        <v>205</v>
      </c>
      <c r="F12" s="12">
        <v>35905</v>
      </c>
      <c r="G12" s="10">
        <f t="shared" ca="1" si="0"/>
        <v>27</v>
      </c>
      <c r="H12" s="10" t="str">
        <f t="shared" ca="1" si="1"/>
        <v>24-28</v>
      </c>
      <c r="I12" s="10"/>
      <c r="J12" s="13">
        <v>45926</v>
      </c>
      <c r="K12" s="10">
        <v>820.18</v>
      </c>
      <c r="L12" s="14">
        <f t="shared" si="2"/>
        <v>164.036</v>
      </c>
    </row>
    <row r="13" spans="1:25" ht="15" x14ac:dyDescent="0.25">
      <c r="A13" s="10">
        <v>95445944</v>
      </c>
      <c r="B13" s="11" t="s">
        <v>35</v>
      </c>
      <c r="C13" s="10" t="s">
        <v>36</v>
      </c>
      <c r="D13" s="11" t="s">
        <v>15</v>
      </c>
      <c r="E13" s="10" t="s">
        <v>205</v>
      </c>
      <c r="F13" s="12">
        <v>34064</v>
      </c>
      <c r="G13" s="10">
        <f t="shared" ca="1" si="0"/>
        <v>32</v>
      </c>
      <c r="H13" s="10" t="str">
        <f t="shared" ca="1" si="1"/>
        <v>29-33</v>
      </c>
      <c r="I13" s="10"/>
      <c r="J13" s="13">
        <v>45926</v>
      </c>
      <c r="K13" s="10">
        <v>984.21</v>
      </c>
      <c r="L13" s="14">
        <f t="shared" si="2"/>
        <v>196.84200000000001</v>
      </c>
    </row>
    <row r="14" spans="1:25" ht="15" x14ac:dyDescent="0.25">
      <c r="A14" s="10">
        <v>95445941</v>
      </c>
      <c r="B14" s="11" t="s">
        <v>37</v>
      </c>
      <c r="C14" s="10" t="s">
        <v>38</v>
      </c>
      <c r="D14" s="11" t="s">
        <v>18</v>
      </c>
      <c r="E14" s="10" t="s">
        <v>205</v>
      </c>
      <c r="F14" s="12">
        <v>36322</v>
      </c>
      <c r="G14" s="10">
        <f t="shared" ca="1" si="0"/>
        <v>26</v>
      </c>
      <c r="H14" s="10" t="str">
        <f t="shared" ca="1" si="1"/>
        <v>24-28</v>
      </c>
      <c r="I14" s="10"/>
      <c r="J14" s="13">
        <v>45926</v>
      </c>
      <c r="K14" s="10">
        <v>941.13</v>
      </c>
      <c r="L14" s="14">
        <f t="shared" si="2"/>
        <v>188.226</v>
      </c>
    </row>
    <row r="15" spans="1:25" ht="15" x14ac:dyDescent="0.25">
      <c r="A15" s="10">
        <v>95445980</v>
      </c>
      <c r="B15" s="18" t="s">
        <v>39</v>
      </c>
      <c r="C15" s="10" t="s">
        <v>40</v>
      </c>
      <c r="D15" s="11" t="s">
        <v>18</v>
      </c>
      <c r="E15" s="10" t="s">
        <v>205</v>
      </c>
      <c r="F15" s="12">
        <v>32732</v>
      </c>
      <c r="G15" s="10">
        <f t="shared" ca="1" si="0"/>
        <v>36</v>
      </c>
      <c r="H15" s="10" t="str">
        <f t="shared" ca="1" si="1"/>
        <v>34-38</v>
      </c>
      <c r="I15" s="10"/>
      <c r="J15" s="13">
        <v>45926</v>
      </c>
      <c r="K15" s="17">
        <v>1185.82</v>
      </c>
      <c r="L15" s="14">
        <f t="shared" si="2"/>
        <v>237.16399999999999</v>
      </c>
    </row>
    <row r="16" spans="1:25" ht="15" x14ac:dyDescent="0.25">
      <c r="A16" s="10">
        <v>95445982</v>
      </c>
      <c r="B16" s="18" t="s">
        <v>41</v>
      </c>
      <c r="C16" s="10" t="s">
        <v>42</v>
      </c>
      <c r="D16" s="11" t="s">
        <v>18</v>
      </c>
      <c r="E16" s="10" t="s">
        <v>206</v>
      </c>
      <c r="F16" s="12">
        <v>44440</v>
      </c>
      <c r="G16" s="10">
        <f t="shared" ca="1" si="0"/>
        <v>4</v>
      </c>
      <c r="H16" s="10" t="str">
        <f t="shared" ca="1" si="1"/>
        <v>0-18</v>
      </c>
      <c r="I16" s="10" t="s">
        <v>43</v>
      </c>
      <c r="J16" s="13">
        <v>45926</v>
      </c>
      <c r="K16" s="10">
        <v>659.33</v>
      </c>
      <c r="L16" s="10">
        <v>659.33</v>
      </c>
    </row>
    <row r="17" spans="1:12" ht="15" x14ac:dyDescent="0.25">
      <c r="A17" s="10">
        <v>95445976</v>
      </c>
      <c r="B17" s="11" t="s">
        <v>44</v>
      </c>
      <c r="C17" s="10" t="s">
        <v>45</v>
      </c>
      <c r="D17" s="11" t="s">
        <v>18</v>
      </c>
      <c r="E17" s="10" t="s">
        <v>205</v>
      </c>
      <c r="F17" s="16">
        <v>37541</v>
      </c>
      <c r="G17" s="10">
        <f t="shared" ca="1" si="0"/>
        <v>23</v>
      </c>
      <c r="H17" s="10" t="str">
        <f t="shared" ca="1" si="1"/>
        <v>19-23</v>
      </c>
      <c r="I17" s="10"/>
      <c r="J17" s="13">
        <v>45926</v>
      </c>
      <c r="K17" s="10">
        <v>771.42</v>
      </c>
      <c r="L17" s="14">
        <f t="shared" ref="L17:L22" si="3">K17*20%</f>
        <v>154.28399999999999</v>
      </c>
    </row>
    <row r="18" spans="1:12" ht="15" x14ac:dyDescent="0.25">
      <c r="A18" s="10">
        <v>95445964</v>
      </c>
      <c r="B18" s="11" t="s">
        <v>46</v>
      </c>
      <c r="C18" s="10" t="s">
        <v>47</v>
      </c>
      <c r="D18" s="11" t="s">
        <v>15</v>
      </c>
      <c r="E18" s="10" t="s">
        <v>205</v>
      </c>
      <c r="F18" s="12">
        <v>35075</v>
      </c>
      <c r="G18" s="10">
        <f t="shared" ca="1" si="0"/>
        <v>29</v>
      </c>
      <c r="H18" s="10" t="str">
        <f t="shared" ca="1" si="1"/>
        <v>29-33</v>
      </c>
      <c r="I18" s="10"/>
      <c r="J18" s="13">
        <v>45926</v>
      </c>
      <c r="K18" s="10">
        <v>984.21</v>
      </c>
      <c r="L18" s="14">
        <f t="shared" si="3"/>
        <v>196.84200000000001</v>
      </c>
    </row>
    <row r="19" spans="1:12" ht="15" x14ac:dyDescent="0.25">
      <c r="A19" s="10">
        <v>95450148</v>
      </c>
      <c r="B19" s="11" t="s">
        <v>48</v>
      </c>
      <c r="C19" s="10" t="s">
        <v>49</v>
      </c>
      <c r="D19" s="11" t="s">
        <v>15</v>
      </c>
      <c r="E19" s="10" t="s">
        <v>205</v>
      </c>
      <c r="F19" s="12">
        <v>35668</v>
      </c>
      <c r="G19" s="10">
        <f t="shared" ca="1" si="0"/>
        <v>28</v>
      </c>
      <c r="H19" s="10" t="str">
        <f t="shared" ca="1" si="1"/>
        <v>24-28</v>
      </c>
      <c r="I19" s="10"/>
      <c r="J19" s="13">
        <v>45926</v>
      </c>
      <c r="K19" s="10">
        <v>820.18</v>
      </c>
      <c r="L19" s="14">
        <f t="shared" si="3"/>
        <v>164.036</v>
      </c>
    </row>
    <row r="20" spans="1:12" ht="15" x14ac:dyDescent="0.25">
      <c r="A20" s="10">
        <v>95445997</v>
      </c>
      <c r="B20" s="11" t="s">
        <v>50</v>
      </c>
      <c r="C20" s="10" t="s">
        <v>51</v>
      </c>
      <c r="D20" s="11" t="s">
        <v>18</v>
      </c>
      <c r="E20" s="10" t="s">
        <v>205</v>
      </c>
      <c r="F20" s="12">
        <v>36260</v>
      </c>
      <c r="G20" s="10">
        <f t="shared" ca="1" si="0"/>
        <v>26</v>
      </c>
      <c r="H20" s="10" t="str">
        <f t="shared" ca="1" si="1"/>
        <v>24-28</v>
      </c>
      <c r="I20" s="10"/>
      <c r="J20" s="13">
        <v>45926</v>
      </c>
      <c r="K20" s="10">
        <v>941.13</v>
      </c>
      <c r="L20" s="14">
        <f t="shared" si="3"/>
        <v>188.226</v>
      </c>
    </row>
    <row r="21" spans="1:12" ht="15" x14ac:dyDescent="0.25">
      <c r="A21" s="10">
        <v>95445972</v>
      </c>
      <c r="B21" s="11" t="s">
        <v>52</v>
      </c>
      <c r="C21" s="10" t="s">
        <v>53</v>
      </c>
      <c r="D21" s="11" t="s">
        <v>15</v>
      </c>
      <c r="E21" s="10" t="s">
        <v>205</v>
      </c>
      <c r="F21" s="12">
        <v>35588</v>
      </c>
      <c r="G21" s="10">
        <f t="shared" ca="1" si="0"/>
        <v>28</v>
      </c>
      <c r="H21" s="10" t="str">
        <f t="shared" ca="1" si="1"/>
        <v>24-28</v>
      </c>
      <c r="I21" s="10"/>
      <c r="J21" s="13">
        <v>45926</v>
      </c>
      <c r="K21" s="10">
        <v>941.13</v>
      </c>
      <c r="L21" s="14">
        <f t="shared" si="3"/>
        <v>188.226</v>
      </c>
    </row>
    <row r="22" spans="1:12" ht="15" x14ac:dyDescent="0.25">
      <c r="A22" s="10">
        <v>95446009</v>
      </c>
      <c r="B22" s="11" t="s">
        <v>54</v>
      </c>
      <c r="C22" s="10" t="s">
        <v>55</v>
      </c>
      <c r="D22" s="11" t="s">
        <v>15</v>
      </c>
      <c r="E22" s="10" t="s">
        <v>205</v>
      </c>
      <c r="F22" s="16">
        <v>34260</v>
      </c>
      <c r="G22" s="10">
        <f t="shared" ca="1" si="0"/>
        <v>32</v>
      </c>
      <c r="H22" s="10" t="str">
        <f t="shared" ca="1" si="1"/>
        <v>29-33</v>
      </c>
      <c r="I22" s="10"/>
      <c r="J22" s="13">
        <v>45926</v>
      </c>
      <c r="K22" s="10">
        <v>984.21</v>
      </c>
      <c r="L22" s="14">
        <f t="shared" si="3"/>
        <v>196.84200000000001</v>
      </c>
    </row>
    <row r="23" spans="1:12" ht="15" x14ac:dyDescent="0.25">
      <c r="A23" s="10">
        <v>95445984</v>
      </c>
      <c r="B23" s="11" t="s">
        <v>56</v>
      </c>
      <c r="C23" s="10" t="s">
        <v>57</v>
      </c>
      <c r="D23" s="11" t="s">
        <v>18</v>
      </c>
      <c r="E23" s="10" t="s">
        <v>206</v>
      </c>
      <c r="F23" s="12">
        <v>44616</v>
      </c>
      <c r="G23" s="10">
        <f t="shared" ca="1" si="0"/>
        <v>3</v>
      </c>
      <c r="H23" s="10" t="str">
        <f t="shared" ca="1" si="1"/>
        <v>0-18</v>
      </c>
      <c r="I23" s="10" t="s">
        <v>43</v>
      </c>
      <c r="J23" s="13">
        <v>45926</v>
      </c>
      <c r="K23" s="10">
        <v>659.33</v>
      </c>
      <c r="L23" s="10">
        <v>659.33</v>
      </c>
    </row>
    <row r="24" spans="1:12" ht="15" x14ac:dyDescent="0.25">
      <c r="A24" s="10">
        <v>95446006</v>
      </c>
      <c r="B24" s="11" t="s">
        <v>58</v>
      </c>
      <c r="C24" s="10" t="s">
        <v>59</v>
      </c>
      <c r="D24" s="11" t="s">
        <v>18</v>
      </c>
      <c r="E24" s="10" t="s">
        <v>205</v>
      </c>
      <c r="F24" s="12">
        <v>35814</v>
      </c>
      <c r="G24" s="10">
        <f t="shared" ca="1" si="0"/>
        <v>27</v>
      </c>
      <c r="H24" s="10" t="str">
        <f t="shared" ca="1" si="1"/>
        <v>24-28</v>
      </c>
      <c r="I24" s="10"/>
      <c r="J24" s="13">
        <v>45926</v>
      </c>
      <c r="K24" s="10">
        <v>941.13</v>
      </c>
      <c r="L24" s="14">
        <f t="shared" ref="L24:L31" si="4">K24*20%</f>
        <v>188.226</v>
      </c>
    </row>
    <row r="25" spans="1:12" ht="15" x14ac:dyDescent="0.25">
      <c r="A25" s="10">
        <v>95445979</v>
      </c>
      <c r="B25" s="11" t="s">
        <v>60</v>
      </c>
      <c r="C25" s="10" t="s">
        <v>61</v>
      </c>
      <c r="D25" s="11" t="s">
        <v>18</v>
      </c>
      <c r="E25" s="10" t="s">
        <v>205</v>
      </c>
      <c r="F25" s="16">
        <v>33232</v>
      </c>
      <c r="G25" s="10">
        <f t="shared" ca="1" si="0"/>
        <v>34</v>
      </c>
      <c r="H25" s="10" t="str">
        <f t="shared" ca="1" si="1"/>
        <v>34-38</v>
      </c>
      <c r="I25" s="10"/>
      <c r="J25" s="13">
        <v>45926</v>
      </c>
      <c r="K25" s="17">
        <v>1185.82</v>
      </c>
      <c r="L25" s="14">
        <f t="shared" si="4"/>
        <v>237.16399999999999</v>
      </c>
    </row>
    <row r="26" spans="1:12" ht="15" x14ac:dyDescent="0.25">
      <c r="A26" s="10">
        <v>95445940</v>
      </c>
      <c r="B26" s="11" t="s">
        <v>62</v>
      </c>
      <c r="C26" s="10" t="s">
        <v>63</v>
      </c>
      <c r="D26" s="11" t="s">
        <v>15</v>
      </c>
      <c r="E26" s="10" t="s">
        <v>205</v>
      </c>
      <c r="F26" s="16">
        <v>34627</v>
      </c>
      <c r="G26" s="10">
        <f t="shared" ca="1" si="0"/>
        <v>31</v>
      </c>
      <c r="H26" s="10" t="str">
        <f t="shared" ca="1" si="1"/>
        <v>29-33</v>
      </c>
      <c r="I26" s="10"/>
      <c r="J26" s="13">
        <v>45926</v>
      </c>
      <c r="K26" s="10">
        <v>984.21</v>
      </c>
      <c r="L26" s="14">
        <f t="shared" si="4"/>
        <v>196.84200000000001</v>
      </c>
    </row>
    <row r="27" spans="1:12" ht="15" x14ac:dyDescent="0.25">
      <c r="A27" s="10">
        <v>95528800</v>
      </c>
      <c r="B27" s="11" t="s">
        <v>64</v>
      </c>
      <c r="C27" s="10" t="s">
        <v>65</v>
      </c>
      <c r="D27" s="11" t="s">
        <v>15</v>
      </c>
      <c r="E27" s="10" t="s">
        <v>205</v>
      </c>
      <c r="F27" s="12">
        <v>30943</v>
      </c>
      <c r="G27" s="10">
        <f t="shared" ca="1" si="0"/>
        <v>41</v>
      </c>
      <c r="H27" s="10" t="str">
        <f t="shared" ca="1" si="1"/>
        <v>39-43</v>
      </c>
      <c r="I27" s="10"/>
      <c r="J27" s="13">
        <v>45937</v>
      </c>
      <c r="K27" s="17">
        <v>1136.76</v>
      </c>
      <c r="L27" s="14">
        <f t="shared" si="4"/>
        <v>227.352</v>
      </c>
    </row>
    <row r="28" spans="1:12" ht="15" x14ac:dyDescent="0.25">
      <c r="A28" s="10">
        <v>95445937</v>
      </c>
      <c r="B28" s="11" t="s">
        <v>66</v>
      </c>
      <c r="C28" s="10" t="s">
        <v>67</v>
      </c>
      <c r="D28" s="11" t="s">
        <v>18</v>
      </c>
      <c r="E28" s="10" t="s">
        <v>205</v>
      </c>
      <c r="F28" s="12">
        <v>33806</v>
      </c>
      <c r="G28" s="10">
        <f t="shared" ca="1" si="0"/>
        <v>33</v>
      </c>
      <c r="H28" s="10" t="str">
        <f t="shared" ca="1" si="1"/>
        <v>29-33</v>
      </c>
      <c r="I28" s="10"/>
      <c r="J28" s="13">
        <v>45926</v>
      </c>
      <c r="K28" s="17">
        <v>1129.3499999999999</v>
      </c>
      <c r="L28" s="14">
        <f t="shared" si="4"/>
        <v>225.87</v>
      </c>
    </row>
    <row r="29" spans="1:12" ht="15" x14ac:dyDescent="0.25">
      <c r="A29" s="10">
        <v>95446014</v>
      </c>
      <c r="B29" s="11" t="s">
        <v>68</v>
      </c>
      <c r="C29" s="10" t="s">
        <v>69</v>
      </c>
      <c r="D29" s="11" t="s">
        <v>18</v>
      </c>
      <c r="E29" s="10" t="s">
        <v>205</v>
      </c>
      <c r="F29" s="12">
        <v>34846</v>
      </c>
      <c r="G29" s="10">
        <f t="shared" ca="1" si="0"/>
        <v>30</v>
      </c>
      <c r="H29" s="10" t="str">
        <f t="shared" ca="1" si="1"/>
        <v>29-33</v>
      </c>
      <c r="I29" s="10"/>
      <c r="J29" s="13">
        <v>45926</v>
      </c>
      <c r="K29" s="17">
        <v>1129.3499999999999</v>
      </c>
      <c r="L29" s="14">
        <f t="shared" si="4"/>
        <v>225.87</v>
      </c>
    </row>
    <row r="30" spans="1:12" ht="15" x14ac:dyDescent="0.25">
      <c r="A30" s="10">
        <v>95445987</v>
      </c>
      <c r="B30" s="11" t="s">
        <v>70</v>
      </c>
      <c r="C30" s="10" t="s">
        <v>71</v>
      </c>
      <c r="D30" s="11" t="s">
        <v>18</v>
      </c>
      <c r="E30" s="10" t="s">
        <v>205</v>
      </c>
      <c r="F30" s="12">
        <v>36164</v>
      </c>
      <c r="G30" s="10">
        <f t="shared" ca="1" si="0"/>
        <v>26</v>
      </c>
      <c r="H30" s="10" t="str">
        <f t="shared" ca="1" si="1"/>
        <v>24-28</v>
      </c>
      <c r="I30" s="10"/>
      <c r="J30" s="13">
        <v>45926</v>
      </c>
      <c r="K30" s="10">
        <v>941.13</v>
      </c>
      <c r="L30" s="14">
        <f t="shared" si="4"/>
        <v>188.226</v>
      </c>
    </row>
    <row r="31" spans="1:12" ht="15" x14ac:dyDescent="0.25">
      <c r="A31" s="10">
        <v>95445973</v>
      </c>
      <c r="B31" s="11" t="s">
        <v>72</v>
      </c>
      <c r="C31" s="10" t="s">
        <v>73</v>
      </c>
      <c r="D31" s="11" t="s">
        <v>18</v>
      </c>
      <c r="E31" s="10" t="s">
        <v>205</v>
      </c>
      <c r="F31" s="12">
        <v>35988</v>
      </c>
      <c r="G31" s="10">
        <f t="shared" ca="1" si="0"/>
        <v>27</v>
      </c>
      <c r="H31" s="10" t="str">
        <f t="shared" ca="1" si="1"/>
        <v>24-28</v>
      </c>
      <c r="I31" s="10"/>
      <c r="J31" s="13">
        <v>45926</v>
      </c>
      <c r="K31" s="10">
        <v>941.13</v>
      </c>
      <c r="L31" s="14">
        <f t="shared" si="4"/>
        <v>188.226</v>
      </c>
    </row>
    <row r="32" spans="1:12" ht="15" x14ac:dyDescent="0.25">
      <c r="A32" s="10">
        <v>95445931</v>
      </c>
      <c r="B32" s="18" t="s">
        <v>74</v>
      </c>
      <c r="C32" s="10" t="s">
        <v>75</v>
      </c>
      <c r="D32" s="11" t="s">
        <v>18</v>
      </c>
      <c r="E32" s="10" t="s">
        <v>205</v>
      </c>
      <c r="F32" s="19">
        <v>0</v>
      </c>
      <c r="G32" s="10"/>
      <c r="H32" s="10"/>
      <c r="I32" s="10"/>
      <c r="J32" s="13">
        <v>45926</v>
      </c>
      <c r="K32" s="17">
        <v>3923.4</v>
      </c>
      <c r="L32" s="14"/>
    </row>
    <row r="33" spans="1:12" ht="15" x14ac:dyDescent="0.25">
      <c r="A33" s="10">
        <v>95445966</v>
      </c>
      <c r="B33" s="11" t="s">
        <v>76</v>
      </c>
      <c r="C33" s="10" t="s">
        <v>77</v>
      </c>
      <c r="D33" s="11" t="s">
        <v>18</v>
      </c>
      <c r="E33" s="10" t="s">
        <v>206</v>
      </c>
      <c r="F33" s="12">
        <v>36398</v>
      </c>
      <c r="G33" s="10">
        <f t="shared" ref="G33:G37" ca="1" si="5">DATEDIF(F33,TODAY(),"Y")</f>
        <v>26</v>
      </c>
      <c r="H33" s="10" t="str">
        <f t="shared" ref="H33:H37" ca="1" si="6">IF($G33&lt;=18,"0-18",
IF($G33&lt;=23,"19-23",
IF($G33&lt;=28,"24-28",
IF($G33&lt;=33,"29-33",
IF($G33&lt;=38,"34-38",
IF($G33&lt;=43,"39-43",
IF($G33&lt;=48,"44-48",
IF($G33&lt;=53,"49-53",
IF($G33&lt;=58,"54-58","59 ou mais"
)))))))))</f>
        <v>24-28</v>
      </c>
      <c r="I33" s="10" t="s">
        <v>78</v>
      </c>
      <c r="J33" s="13">
        <v>45926</v>
      </c>
      <c r="K33" s="10">
        <v>941.13</v>
      </c>
      <c r="L33" s="10">
        <v>941.13</v>
      </c>
    </row>
    <row r="34" spans="1:12" ht="15" x14ac:dyDescent="0.25">
      <c r="A34" s="10">
        <v>95445924</v>
      </c>
      <c r="B34" s="11" t="s">
        <v>79</v>
      </c>
      <c r="C34" s="10" t="s">
        <v>80</v>
      </c>
      <c r="D34" s="11" t="s">
        <v>15</v>
      </c>
      <c r="E34" s="10" t="s">
        <v>205</v>
      </c>
      <c r="F34" s="12">
        <v>33135</v>
      </c>
      <c r="G34" s="10">
        <f t="shared" ca="1" si="5"/>
        <v>35</v>
      </c>
      <c r="H34" s="10" t="str">
        <f t="shared" ca="1" si="6"/>
        <v>34-38</v>
      </c>
      <c r="I34" s="10"/>
      <c r="J34" s="13">
        <v>45926</v>
      </c>
      <c r="K34" s="17">
        <v>1033.42</v>
      </c>
      <c r="L34" s="14">
        <f t="shared" ref="L34:L37" si="7">K34*20%</f>
        <v>206.68400000000003</v>
      </c>
    </row>
    <row r="35" spans="1:12" ht="15" x14ac:dyDescent="0.25">
      <c r="A35" s="10">
        <v>95445988</v>
      </c>
      <c r="B35" s="11" t="s">
        <v>81</v>
      </c>
      <c r="C35" s="10" t="s">
        <v>82</v>
      </c>
      <c r="D35" s="11" t="s">
        <v>15</v>
      </c>
      <c r="E35" s="10" t="s">
        <v>205</v>
      </c>
      <c r="F35" s="12">
        <v>33058</v>
      </c>
      <c r="G35" s="10">
        <f t="shared" ca="1" si="5"/>
        <v>35</v>
      </c>
      <c r="H35" s="10" t="str">
        <f t="shared" ca="1" si="6"/>
        <v>34-38</v>
      </c>
      <c r="I35" s="10"/>
      <c r="J35" s="13">
        <v>45926</v>
      </c>
      <c r="K35" s="17">
        <v>1033.42</v>
      </c>
      <c r="L35" s="14">
        <f t="shared" si="7"/>
        <v>206.68400000000003</v>
      </c>
    </row>
    <row r="36" spans="1:12" ht="15" x14ac:dyDescent="0.25">
      <c r="A36" s="10">
        <v>94174535</v>
      </c>
      <c r="B36" s="11" t="s">
        <v>83</v>
      </c>
      <c r="C36" s="10" t="s">
        <v>84</v>
      </c>
      <c r="D36" s="11" t="s">
        <v>15</v>
      </c>
      <c r="E36" s="10" t="s">
        <v>205</v>
      </c>
      <c r="F36" s="12">
        <v>36564</v>
      </c>
      <c r="G36" s="10">
        <f t="shared" ca="1" si="5"/>
        <v>25</v>
      </c>
      <c r="H36" s="10" t="str">
        <f t="shared" ca="1" si="6"/>
        <v>24-28</v>
      </c>
      <c r="I36" s="10"/>
      <c r="J36" s="13">
        <v>45776</v>
      </c>
      <c r="K36" s="10">
        <v>820.18</v>
      </c>
      <c r="L36" s="14">
        <f t="shared" si="7"/>
        <v>164.036</v>
      </c>
    </row>
    <row r="37" spans="1:12" ht="15" x14ac:dyDescent="0.25">
      <c r="A37" s="10">
        <v>95445921</v>
      </c>
      <c r="B37" s="11" t="s">
        <v>85</v>
      </c>
      <c r="C37" s="10" t="s">
        <v>86</v>
      </c>
      <c r="D37" s="11" t="s">
        <v>15</v>
      </c>
      <c r="E37" s="10" t="s">
        <v>205</v>
      </c>
      <c r="F37" s="12">
        <v>32984</v>
      </c>
      <c r="G37" s="10">
        <f t="shared" ca="1" si="5"/>
        <v>35</v>
      </c>
      <c r="H37" s="10" t="str">
        <f t="shared" ca="1" si="6"/>
        <v>34-38</v>
      </c>
      <c r="I37" s="10"/>
      <c r="J37" s="13">
        <v>45926</v>
      </c>
      <c r="K37" s="17">
        <v>1033.42</v>
      </c>
      <c r="L37" s="14">
        <f t="shared" si="7"/>
        <v>206.68400000000003</v>
      </c>
    </row>
    <row r="38" spans="1:12" ht="15" x14ac:dyDescent="0.25">
      <c r="A38" s="10">
        <v>95445926</v>
      </c>
      <c r="B38" s="18" t="s">
        <v>87</v>
      </c>
      <c r="C38" s="10" t="s">
        <v>88</v>
      </c>
      <c r="D38" s="11" t="s">
        <v>15</v>
      </c>
      <c r="E38" s="10" t="s">
        <v>205</v>
      </c>
      <c r="F38" s="19">
        <v>0</v>
      </c>
      <c r="G38" s="10"/>
      <c r="H38" s="10"/>
      <c r="I38" s="10"/>
      <c r="J38" s="13">
        <v>45926</v>
      </c>
      <c r="K38" s="10">
        <v>820.18</v>
      </c>
      <c r="L38" s="14"/>
    </row>
    <row r="39" spans="1:12" ht="15" x14ac:dyDescent="0.25">
      <c r="A39" s="10">
        <v>95445938</v>
      </c>
      <c r="B39" s="11" t="s">
        <v>89</v>
      </c>
      <c r="C39" s="10" t="s">
        <v>90</v>
      </c>
      <c r="D39" s="11" t="s">
        <v>18</v>
      </c>
      <c r="E39" s="10" t="s">
        <v>205</v>
      </c>
      <c r="F39" s="12">
        <v>34914</v>
      </c>
      <c r="G39" s="10">
        <f t="shared" ref="G39:G96" ca="1" si="8">DATEDIF(F39,TODAY(),"Y")</f>
        <v>30</v>
      </c>
      <c r="H39" s="10" t="str">
        <f t="shared" ref="H39:H96" ca="1" si="9">IF($G39&lt;=18,"0-18",
IF($G39&lt;=23,"19-23",
IF($G39&lt;=28,"24-28",
IF($G39&lt;=33,"29-33",
IF($G39&lt;=38,"34-38",
IF($G39&lt;=43,"39-43",
IF($G39&lt;=48,"44-48",
IF($G39&lt;=53,"49-53",
IF($G39&lt;=58,"54-58","59 ou mais"
)))))))))</f>
        <v>29-33</v>
      </c>
      <c r="I39" s="10"/>
      <c r="J39" s="13">
        <v>45926</v>
      </c>
      <c r="K39" s="17">
        <v>1129.3499999999999</v>
      </c>
      <c r="L39" s="14">
        <f t="shared" ref="L39:L42" si="10">K39*20%</f>
        <v>225.87</v>
      </c>
    </row>
    <row r="40" spans="1:12" ht="15" x14ac:dyDescent="0.25">
      <c r="A40" s="10">
        <v>95445968</v>
      </c>
      <c r="B40" s="11" t="s">
        <v>91</v>
      </c>
      <c r="C40" s="10" t="s">
        <v>92</v>
      </c>
      <c r="D40" s="11" t="s">
        <v>15</v>
      </c>
      <c r="E40" s="10" t="s">
        <v>205</v>
      </c>
      <c r="F40" s="12">
        <v>35770</v>
      </c>
      <c r="G40" s="10">
        <f t="shared" ca="1" si="8"/>
        <v>28</v>
      </c>
      <c r="H40" s="10" t="str">
        <f t="shared" ca="1" si="9"/>
        <v>24-28</v>
      </c>
      <c r="I40" s="10"/>
      <c r="J40" s="13">
        <v>45926</v>
      </c>
      <c r="K40" s="10">
        <v>820.18</v>
      </c>
      <c r="L40" s="14">
        <f t="shared" si="10"/>
        <v>164.036</v>
      </c>
    </row>
    <row r="41" spans="1:12" ht="15" x14ac:dyDescent="0.25">
      <c r="A41" s="10">
        <v>95445969</v>
      </c>
      <c r="B41" s="11" t="s">
        <v>93</v>
      </c>
      <c r="C41" s="10" t="s">
        <v>94</v>
      </c>
      <c r="D41" s="11" t="s">
        <v>15</v>
      </c>
      <c r="E41" s="10" t="s">
        <v>205</v>
      </c>
      <c r="F41" s="12">
        <v>37107</v>
      </c>
      <c r="G41" s="10">
        <f t="shared" ca="1" si="8"/>
        <v>24</v>
      </c>
      <c r="H41" s="10" t="str">
        <f t="shared" ca="1" si="9"/>
        <v>24-28</v>
      </c>
      <c r="I41" s="10"/>
      <c r="J41" s="13">
        <v>45926</v>
      </c>
      <c r="K41" s="10">
        <v>820.18</v>
      </c>
      <c r="L41" s="14">
        <f t="shared" si="10"/>
        <v>164.036</v>
      </c>
    </row>
    <row r="42" spans="1:12" ht="15" x14ac:dyDescent="0.25">
      <c r="A42" s="10">
        <v>95446008</v>
      </c>
      <c r="B42" s="11" t="s">
        <v>95</v>
      </c>
      <c r="C42" s="10" t="s">
        <v>96</v>
      </c>
      <c r="D42" s="11" t="s">
        <v>18</v>
      </c>
      <c r="E42" s="10" t="s">
        <v>205</v>
      </c>
      <c r="F42" s="12">
        <v>37173</v>
      </c>
      <c r="G42" s="10">
        <f t="shared" ca="1" si="8"/>
        <v>24</v>
      </c>
      <c r="H42" s="10" t="str">
        <f t="shared" ca="1" si="9"/>
        <v>24-28</v>
      </c>
      <c r="I42" s="10"/>
      <c r="J42" s="13">
        <v>45926</v>
      </c>
      <c r="K42" s="10">
        <v>771.42</v>
      </c>
      <c r="L42" s="14">
        <f t="shared" si="10"/>
        <v>154.28399999999999</v>
      </c>
    </row>
    <row r="43" spans="1:12" ht="15" x14ac:dyDescent="0.25">
      <c r="A43" s="10">
        <v>95445981</v>
      </c>
      <c r="B43" s="11" t="s">
        <v>97</v>
      </c>
      <c r="C43" s="10" t="s">
        <v>98</v>
      </c>
      <c r="D43" s="11" t="s">
        <v>18</v>
      </c>
      <c r="E43" s="10" t="s">
        <v>206</v>
      </c>
      <c r="F43" s="12">
        <v>32252</v>
      </c>
      <c r="G43" s="10">
        <f t="shared" ca="1" si="8"/>
        <v>37</v>
      </c>
      <c r="H43" s="10" t="str">
        <f t="shared" ca="1" si="9"/>
        <v>34-38</v>
      </c>
      <c r="I43" s="10" t="s">
        <v>78</v>
      </c>
      <c r="J43" s="13">
        <v>45926</v>
      </c>
      <c r="K43" s="17">
        <v>1185.82</v>
      </c>
      <c r="L43" s="17">
        <v>1185.82</v>
      </c>
    </row>
    <row r="44" spans="1:12" ht="15" x14ac:dyDescent="0.25">
      <c r="A44" s="10">
        <v>95445995</v>
      </c>
      <c r="B44" s="11" t="s">
        <v>99</v>
      </c>
      <c r="C44" s="10" t="s">
        <v>100</v>
      </c>
      <c r="D44" s="11" t="s">
        <v>18</v>
      </c>
      <c r="E44" s="10" t="s">
        <v>205</v>
      </c>
      <c r="F44" s="12">
        <v>33132</v>
      </c>
      <c r="G44" s="10">
        <f t="shared" ca="1" si="8"/>
        <v>35</v>
      </c>
      <c r="H44" s="10" t="str">
        <f t="shared" ca="1" si="9"/>
        <v>34-38</v>
      </c>
      <c r="I44" s="10"/>
      <c r="J44" s="13">
        <v>45926</v>
      </c>
      <c r="K44" s="17">
        <v>1185.82</v>
      </c>
      <c r="L44" s="14">
        <f t="shared" ref="L44:L47" si="11">K44*20%</f>
        <v>237.16399999999999</v>
      </c>
    </row>
    <row r="45" spans="1:12" ht="15" x14ac:dyDescent="0.25">
      <c r="A45" s="10">
        <v>95445919</v>
      </c>
      <c r="B45" s="11" t="s">
        <v>101</v>
      </c>
      <c r="C45" s="10" t="s">
        <v>102</v>
      </c>
      <c r="D45" s="11" t="s">
        <v>18</v>
      </c>
      <c r="E45" s="10" t="s">
        <v>205</v>
      </c>
      <c r="F45" s="12">
        <v>36347</v>
      </c>
      <c r="G45" s="10">
        <f t="shared" ca="1" si="8"/>
        <v>26</v>
      </c>
      <c r="H45" s="10" t="str">
        <f t="shared" ca="1" si="9"/>
        <v>24-28</v>
      </c>
      <c r="I45" s="10"/>
      <c r="J45" s="13">
        <v>45926</v>
      </c>
      <c r="K45" s="10">
        <v>941.13</v>
      </c>
      <c r="L45" s="14">
        <f t="shared" si="11"/>
        <v>188.226</v>
      </c>
    </row>
    <row r="46" spans="1:12" ht="15" x14ac:dyDescent="0.25">
      <c r="A46" s="10">
        <v>95445993</v>
      </c>
      <c r="B46" s="11" t="s">
        <v>103</v>
      </c>
      <c r="C46" s="10" t="s">
        <v>104</v>
      </c>
      <c r="D46" s="11" t="s">
        <v>18</v>
      </c>
      <c r="E46" s="10" t="s">
        <v>205</v>
      </c>
      <c r="F46" s="12">
        <v>35345</v>
      </c>
      <c r="G46" s="10">
        <f t="shared" ca="1" si="8"/>
        <v>29</v>
      </c>
      <c r="H46" s="10" t="str">
        <f t="shared" ca="1" si="9"/>
        <v>29-33</v>
      </c>
      <c r="I46" s="10"/>
      <c r="J46" s="13">
        <v>45926</v>
      </c>
      <c r="K46" s="10">
        <v>941.13</v>
      </c>
      <c r="L46" s="14">
        <f t="shared" si="11"/>
        <v>188.226</v>
      </c>
    </row>
    <row r="47" spans="1:12" ht="15" x14ac:dyDescent="0.25">
      <c r="A47" s="10">
        <v>95445936</v>
      </c>
      <c r="B47" s="11" t="s">
        <v>105</v>
      </c>
      <c r="C47" s="10" t="s">
        <v>106</v>
      </c>
      <c r="D47" s="11" t="s">
        <v>15</v>
      </c>
      <c r="E47" s="10" t="s">
        <v>205</v>
      </c>
      <c r="F47" s="12">
        <v>35444</v>
      </c>
      <c r="G47" s="10">
        <f t="shared" ca="1" si="8"/>
        <v>28</v>
      </c>
      <c r="H47" s="10" t="str">
        <f t="shared" ca="1" si="9"/>
        <v>24-28</v>
      </c>
      <c r="I47" s="10"/>
      <c r="J47" s="13">
        <v>45926</v>
      </c>
      <c r="K47" s="10">
        <v>820.18</v>
      </c>
      <c r="L47" s="14">
        <f t="shared" si="11"/>
        <v>164.036</v>
      </c>
    </row>
    <row r="48" spans="1:12" ht="15" x14ac:dyDescent="0.25">
      <c r="A48" s="10">
        <v>95445998</v>
      </c>
      <c r="B48" s="11" t="s">
        <v>107</v>
      </c>
      <c r="C48" s="10" t="s">
        <v>108</v>
      </c>
      <c r="D48" s="11" t="s">
        <v>18</v>
      </c>
      <c r="E48" s="10" t="s">
        <v>206</v>
      </c>
      <c r="F48" s="12">
        <v>45440</v>
      </c>
      <c r="G48" s="10">
        <f t="shared" ca="1" si="8"/>
        <v>1</v>
      </c>
      <c r="H48" s="10" t="str">
        <f t="shared" ca="1" si="9"/>
        <v>0-18</v>
      </c>
      <c r="I48" s="10" t="s">
        <v>43</v>
      </c>
      <c r="J48" s="13">
        <v>45926</v>
      </c>
      <c r="K48" s="10">
        <v>659.33</v>
      </c>
      <c r="L48" s="14">
        <v>659.33</v>
      </c>
    </row>
    <row r="49" spans="1:12" ht="15" x14ac:dyDescent="0.25">
      <c r="A49" s="10">
        <v>95446004</v>
      </c>
      <c r="B49" s="11" t="s">
        <v>109</v>
      </c>
      <c r="C49" s="10" t="s">
        <v>110</v>
      </c>
      <c r="D49" s="11" t="s">
        <v>18</v>
      </c>
      <c r="E49" s="10" t="s">
        <v>205</v>
      </c>
      <c r="F49" s="12">
        <v>35373</v>
      </c>
      <c r="G49" s="10">
        <f t="shared" ca="1" si="8"/>
        <v>29</v>
      </c>
      <c r="H49" s="10" t="str">
        <f t="shared" ca="1" si="9"/>
        <v>29-33</v>
      </c>
      <c r="I49" s="10"/>
      <c r="J49" s="13">
        <v>45926</v>
      </c>
      <c r="K49" s="10">
        <v>941.13</v>
      </c>
      <c r="L49" s="14">
        <f t="shared" ref="L49:L58" si="12">K49*20%</f>
        <v>188.226</v>
      </c>
    </row>
    <row r="50" spans="1:12" ht="15" x14ac:dyDescent="0.25">
      <c r="A50" s="10">
        <v>95445963</v>
      </c>
      <c r="B50" s="11" t="s">
        <v>111</v>
      </c>
      <c r="C50" s="10" t="s">
        <v>112</v>
      </c>
      <c r="D50" s="11" t="s">
        <v>18</v>
      </c>
      <c r="E50" s="10" t="s">
        <v>205</v>
      </c>
      <c r="F50" s="12">
        <v>35617</v>
      </c>
      <c r="G50" s="10">
        <f t="shared" ca="1" si="8"/>
        <v>28</v>
      </c>
      <c r="H50" s="10" t="str">
        <f t="shared" ca="1" si="9"/>
        <v>24-28</v>
      </c>
      <c r="I50" s="10"/>
      <c r="J50" s="13">
        <v>45926</v>
      </c>
      <c r="K50" s="10">
        <v>941.13</v>
      </c>
      <c r="L50" s="14">
        <f t="shared" si="12"/>
        <v>188.226</v>
      </c>
    </row>
    <row r="51" spans="1:12" ht="15" x14ac:dyDescent="0.25">
      <c r="A51" s="10">
        <v>95445990</v>
      </c>
      <c r="B51" s="11" t="s">
        <v>113</v>
      </c>
      <c r="C51" s="10" t="s">
        <v>114</v>
      </c>
      <c r="D51" s="11" t="s">
        <v>15</v>
      </c>
      <c r="E51" s="10" t="s">
        <v>205</v>
      </c>
      <c r="F51" s="12">
        <v>35965</v>
      </c>
      <c r="G51" s="10">
        <f t="shared" ca="1" si="8"/>
        <v>27</v>
      </c>
      <c r="H51" s="10" t="str">
        <f t="shared" ca="1" si="9"/>
        <v>24-28</v>
      </c>
      <c r="I51" s="10"/>
      <c r="J51" s="13">
        <v>45926</v>
      </c>
      <c r="K51" s="10">
        <v>820.18</v>
      </c>
      <c r="L51" s="14">
        <f t="shared" si="12"/>
        <v>164.036</v>
      </c>
    </row>
    <row r="52" spans="1:12" ht="15" x14ac:dyDescent="0.25">
      <c r="A52" s="10">
        <v>95446013</v>
      </c>
      <c r="B52" s="11" t="s">
        <v>115</v>
      </c>
      <c r="C52" s="10" t="s">
        <v>116</v>
      </c>
      <c r="D52" s="11" t="s">
        <v>18</v>
      </c>
      <c r="E52" s="10" t="s">
        <v>205</v>
      </c>
      <c r="F52" s="12">
        <v>33255</v>
      </c>
      <c r="G52" s="10">
        <f t="shared" ca="1" si="8"/>
        <v>34</v>
      </c>
      <c r="H52" s="10" t="str">
        <f t="shared" ca="1" si="9"/>
        <v>34-38</v>
      </c>
      <c r="I52" s="10"/>
      <c r="J52" s="13">
        <v>45926</v>
      </c>
      <c r="K52" s="17">
        <v>1185.82</v>
      </c>
      <c r="L52" s="14">
        <f t="shared" si="12"/>
        <v>237.16399999999999</v>
      </c>
    </row>
    <row r="53" spans="1:12" ht="15" x14ac:dyDescent="0.25">
      <c r="A53" s="10">
        <v>95446010</v>
      </c>
      <c r="B53" s="11" t="s">
        <v>117</v>
      </c>
      <c r="C53" s="10" t="s">
        <v>118</v>
      </c>
      <c r="D53" s="11" t="s">
        <v>18</v>
      </c>
      <c r="E53" s="10" t="s">
        <v>205</v>
      </c>
      <c r="F53" s="12">
        <v>36339</v>
      </c>
      <c r="G53" s="10">
        <f t="shared" ca="1" si="8"/>
        <v>26</v>
      </c>
      <c r="H53" s="10" t="str">
        <f t="shared" ca="1" si="9"/>
        <v>24-28</v>
      </c>
      <c r="I53" s="10"/>
      <c r="J53" s="13">
        <v>45926</v>
      </c>
      <c r="K53" s="10">
        <v>941.13</v>
      </c>
      <c r="L53" s="14">
        <f t="shared" si="12"/>
        <v>188.226</v>
      </c>
    </row>
    <row r="54" spans="1:12" ht="15" x14ac:dyDescent="0.25">
      <c r="A54" s="10">
        <v>95445989</v>
      </c>
      <c r="B54" s="11" t="s">
        <v>119</v>
      </c>
      <c r="C54" s="10" t="s">
        <v>120</v>
      </c>
      <c r="D54" s="11" t="s">
        <v>18</v>
      </c>
      <c r="E54" s="10" t="s">
        <v>205</v>
      </c>
      <c r="F54" s="12">
        <v>34723</v>
      </c>
      <c r="G54" s="10">
        <f t="shared" ca="1" si="8"/>
        <v>30</v>
      </c>
      <c r="H54" s="10" t="str">
        <f t="shared" ca="1" si="9"/>
        <v>29-33</v>
      </c>
      <c r="I54" s="10"/>
      <c r="J54" s="13">
        <v>45926</v>
      </c>
      <c r="K54" s="17">
        <v>1129.3499999999999</v>
      </c>
      <c r="L54" s="14">
        <f t="shared" si="12"/>
        <v>225.87</v>
      </c>
    </row>
    <row r="55" spans="1:12" ht="15" x14ac:dyDescent="0.25">
      <c r="A55" s="10">
        <v>95446001</v>
      </c>
      <c r="B55" s="11" t="s">
        <v>121</v>
      </c>
      <c r="C55" s="10" t="s">
        <v>122</v>
      </c>
      <c r="D55" s="11" t="s">
        <v>15</v>
      </c>
      <c r="E55" s="10" t="s">
        <v>205</v>
      </c>
      <c r="F55" s="12">
        <v>35579</v>
      </c>
      <c r="G55" s="10">
        <f t="shared" ca="1" si="8"/>
        <v>28</v>
      </c>
      <c r="H55" s="10" t="str">
        <f t="shared" ca="1" si="9"/>
        <v>24-28</v>
      </c>
      <c r="I55" s="10"/>
      <c r="J55" s="13">
        <v>45926</v>
      </c>
      <c r="K55" s="10">
        <v>820.18</v>
      </c>
      <c r="L55" s="14">
        <f t="shared" si="12"/>
        <v>164.036</v>
      </c>
    </row>
    <row r="56" spans="1:12" ht="15" x14ac:dyDescent="0.25">
      <c r="A56" s="10">
        <v>95445975</v>
      </c>
      <c r="B56" s="11" t="s">
        <v>123</v>
      </c>
      <c r="C56" s="10" t="s">
        <v>124</v>
      </c>
      <c r="D56" s="11" t="s">
        <v>18</v>
      </c>
      <c r="E56" s="10" t="s">
        <v>205</v>
      </c>
      <c r="F56" s="16">
        <v>37600</v>
      </c>
      <c r="G56" s="10">
        <f t="shared" ca="1" si="8"/>
        <v>23</v>
      </c>
      <c r="H56" s="10" t="str">
        <f t="shared" ca="1" si="9"/>
        <v>19-23</v>
      </c>
      <c r="I56" s="10"/>
      <c r="J56" s="13">
        <v>45926</v>
      </c>
      <c r="K56" s="10">
        <v>771.42</v>
      </c>
      <c r="L56" s="14">
        <f t="shared" si="12"/>
        <v>154.28399999999999</v>
      </c>
    </row>
    <row r="57" spans="1:12" ht="15" x14ac:dyDescent="0.25">
      <c r="A57" s="10">
        <v>95445939</v>
      </c>
      <c r="B57" s="11" t="s">
        <v>125</v>
      </c>
      <c r="C57" s="10" t="s">
        <v>126</v>
      </c>
      <c r="D57" s="11" t="s">
        <v>15</v>
      </c>
      <c r="E57" s="10" t="s">
        <v>205</v>
      </c>
      <c r="F57" s="16">
        <v>34685</v>
      </c>
      <c r="G57" s="10">
        <f t="shared" ca="1" si="8"/>
        <v>31</v>
      </c>
      <c r="H57" s="10" t="str">
        <f t="shared" ca="1" si="9"/>
        <v>29-33</v>
      </c>
      <c r="I57" s="10"/>
      <c r="J57" s="13">
        <v>45926</v>
      </c>
      <c r="K57" s="10">
        <v>984.21</v>
      </c>
      <c r="L57" s="14">
        <f t="shared" si="12"/>
        <v>196.84200000000001</v>
      </c>
    </row>
    <row r="58" spans="1:12" ht="15" x14ac:dyDescent="0.25">
      <c r="A58" s="10">
        <v>93531204</v>
      </c>
      <c r="B58" s="11" t="s">
        <v>127</v>
      </c>
      <c r="C58" s="10" t="s">
        <v>128</v>
      </c>
      <c r="D58" s="11" t="s">
        <v>15</v>
      </c>
      <c r="E58" s="10" t="s">
        <v>205</v>
      </c>
      <c r="F58" s="12">
        <v>34120</v>
      </c>
      <c r="G58" s="10">
        <f t="shared" ca="1" si="8"/>
        <v>32</v>
      </c>
      <c r="H58" s="10" t="str">
        <f t="shared" ca="1" si="9"/>
        <v>29-33</v>
      </c>
      <c r="I58" s="10"/>
      <c r="J58" s="13">
        <v>45709</v>
      </c>
      <c r="K58" s="10">
        <v>984.21</v>
      </c>
      <c r="L58" s="14">
        <f t="shared" si="12"/>
        <v>196.84200000000001</v>
      </c>
    </row>
    <row r="59" spans="1:12" ht="15" x14ac:dyDescent="0.25">
      <c r="A59" s="10">
        <v>95445922</v>
      </c>
      <c r="B59" s="11" t="s">
        <v>129</v>
      </c>
      <c r="C59" s="10" t="s">
        <v>130</v>
      </c>
      <c r="D59" s="11" t="s">
        <v>15</v>
      </c>
      <c r="E59" s="10" t="s">
        <v>206</v>
      </c>
      <c r="F59" s="12">
        <v>44744</v>
      </c>
      <c r="G59" s="10">
        <f t="shared" ca="1" si="8"/>
        <v>3</v>
      </c>
      <c r="H59" s="10" t="str">
        <f t="shared" ca="1" si="9"/>
        <v>0-18</v>
      </c>
      <c r="I59" s="10" t="s">
        <v>43</v>
      </c>
      <c r="J59" s="13">
        <v>45926</v>
      </c>
      <c r="K59" s="10">
        <v>574.59</v>
      </c>
      <c r="L59" s="10">
        <v>574.59</v>
      </c>
    </row>
    <row r="60" spans="1:12" ht="15" x14ac:dyDescent="0.25">
      <c r="A60" s="10">
        <v>95446003</v>
      </c>
      <c r="B60" s="11" t="s">
        <v>131</v>
      </c>
      <c r="C60" s="10" t="s">
        <v>132</v>
      </c>
      <c r="D60" s="11" t="s">
        <v>15</v>
      </c>
      <c r="E60" s="10" t="s">
        <v>205</v>
      </c>
      <c r="F60" s="12">
        <v>35259</v>
      </c>
      <c r="G60" s="10">
        <f t="shared" ca="1" si="8"/>
        <v>29</v>
      </c>
      <c r="H60" s="10" t="str">
        <f t="shared" ca="1" si="9"/>
        <v>29-33</v>
      </c>
      <c r="I60" s="10"/>
      <c r="J60" s="13">
        <v>45926</v>
      </c>
      <c r="K60" s="10">
        <v>984.21</v>
      </c>
      <c r="L60" s="14">
        <f t="shared" ref="L60:L91" si="13">K60*20%</f>
        <v>196.84200000000001</v>
      </c>
    </row>
    <row r="61" spans="1:12" ht="15" x14ac:dyDescent="0.25">
      <c r="A61" s="10">
        <v>95446000</v>
      </c>
      <c r="B61" s="11" t="s">
        <v>133</v>
      </c>
      <c r="C61" s="10" t="s">
        <v>134</v>
      </c>
      <c r="D61" s="11" t="s">
        <v>18</v>
      </c>
      <c r="E61" s="10" t="s">
        <v>205</v>
      </c>
      <c r="F61" s="12">
        <v>32603</v>
      </c>
      <c r="G61" s="10">
        <f t="shared" ca="1" si="8"/>
        <v>36</v>
      </c>
      <c r="H61" s="10" t="str">
        <f t="shared" ca="1" si="9"/>
        <v>34-38</v>
      </c>
      <c r="I61" s="10"/>
      <c r="J61" s="13">
        <v>45926</v>
      </c>
      <c r="K61" s="17">
        <v>1185.82</v>
      </c>
      <c r="L61" s="14">
        <f t="shared" si="13"/>
        <v>237.16399999999999</v>
      </c>
    </row>
    <row r="62" spans="1:12" ht="15" x14ac:dyDescent="0.25">
      <c r="A62" s="10">
        <v>95445960</v>
      </c>
      <c r="B62" s="11" t="s">
        <v>135</v>
      </c>
      <c r="C62" s="10" t="s">
        <v>136</v>
      </c>
      <c r="D62" s="11" t="s">
        <v>15</v>
      </c>
      <c r="E62" s="10" t="s">
        <v>205</v>
      </c>
      <c r="F62" s="12">
        <v>36168</v>
      </c>
      <c r="G62" s="10">
        <f t="shared" ca="1" si="8"/>
        <v>26</v>
      </c>
      <c r="H62" s="10" t="str">
        <f t="shared" ca="1" si="9"/>
        <v>24-28</v>
      </c>
      <c r="I62" s="10"/>
      <c r="J62" s="13">
        <v>45926</v>
      </c>
      <c r="K62" s="10">
        <v>820.18</v>
      </c>
      <c r="L62" s="14">
        <f t="shared" si="13"/>
        <v>164.036</v>
      </c>
    </row>
    <row r="63" spans="1:12" ht="15" x14ac:dyDescent="0.25">
      <c r="A63" s="10">
        <v>95446007</v>
      </c>
      <c r="B63" s="11" t="s">
        <v>137</v>
      </c>
      <c r="C63" s="10" t="s">
        <v>138</v>
      </c>
      <c r="D63" s="11" t="s">
        <v>18</v>
      </c>
      <c r="E63" s="10" t="s">
        <v>205</v>
      </c>
      <c r="F63" s="12">
        <v>37448</v>
      </c>
      <c r="G63" s="10">
        <f t="shared" ca="1" si="8"/>
        <v>23</v>
      </c>
      <c r="H63" s="10" t="str">
        <f t="shared" ca="1" si="9"/>
        <v>19-23</v>
      </c>
      <c r="I63" s="10"/>
      <c r="J63" s="13">
        <v>45926</v>
      </c>
      <c r="K63" s="10">
        <v>771.42</v>
      </c>
      <c r="L63" s="14">
        <f t="shared" si="13"/>
        <v>154.28399999999999</v>
      </c>
    </row>
    <row r="64" spans="1:12" ht="15" x14ac:dyDescent="0.25">
      <c r="A64" s="10">
        <v>95445962</v>
      </c>
      <c r="B64" s="11" t="s">
        <v>139</v>
      </c>
      <c r="C64" s="10" t="s">
        <v>140</v>
      </c>
      <c r="D64" s="11" t="s">
        <v>15</v>
      </c>
      <c r="E64" s="10" t="s">
        <v>205</v>
      </c>
      <c r="F64" s="16">
        <v>36881</v>
      </c>
      <c r="G64" s="10">
        <f t="shared" ca="1" si="8"/>
        <v>25</v>
      </c>
      <c r="H64" s="10" t="str">
        <f t="shared" ca="1" si="9"/>
        <v>24-28</v>
      </c>
      <c r="I64" s="10"/>
      <c r="J64" s="13">
        <v>45926</v>
      </c>
      <c r="K64" s="10">
        <v>820.18</v>
      </c>
      <c r="L64" s="14">
        <f t="shared" si="13"/>
        <v>164.036</v>
      </c>
    </row>
    <row r="65" spans="1:12" ht="15" x14ac:dyDescent="0.25">
      <c r="A65" s="10">
        <v>95445930</v>
      </c>
      <c r="B65" s="11" t="s">
        <v>141</v>
      </c>
      <c r="C65" s="10" t="s">
        <v>142</v>
      </c>
      <c r="D65" s="11" t="s">
        <v>18</v>
      </c>
      <c r="E65" s="10" t="s">
        <v>205</v>
      </c>
      <c r="F65" s="12">
        <v>35530</v>
      </c>
      <c r="G65" s="10">
        <f t="shared" ca="1" si="8"/>
        <v>28</v>
      </c>
      <c r="H65" s="10" t="str">
        <f t="shared" ca="1" si="9"/>
        <v>24-28</v>
      </c>
      <c r="I65" s="10"/>
      <c r="J65" s="13">
        <v>45926</v>
      </c>
      <c r="K65" s="10">
        <v>941.13</v>
      </c>
      <c r="L65" s="14">
        <f t="shared" si="13"/>
        <v>188.226</v>
      </c>
    </row>
    <row r="66" spans="1:12" ht="15" x14ac:dyDescent="0.25">
      <c r="A66" s="10">
        <v>95445945</v>
      </c>
      <c r="B66" s="11" t="s">
        <v>143</v>
      </c>
      <c r="C66" s="10" t="s">
        <v>144</v>
      </c>
      <c r="D66" s="11" t="s">
        <v>15</v>
      </c>
      <c r="E66" s="10" t="s">
        <v>205</v>
      </c>
      <c r="F66" s="16">
        <v>36514</v>
      </c>
      <c r="G66" s="10">
        <f t="shared" ca="1" si="8"/>
        <v>26</v>
      </c>
      <c r="H66" s="10" t="str">
        <f t="shared" ca="1" si="9"/>
        <v>24-28</v>
      </c>
      <c r="I66" s="10"/>
      <c r="J66" s="13">
        <v>45926</v>
      </c>
      <c r="K66" s="10">
        <v>820.18</v>
      </c>
      <c r="L66" s="14">
        <f t="shared" si="13"/>
        <v>164.036</v>
      </c>
    </row>
    <row r="67" spans="1:12" ht="15" x14ac:dyDescent="0.25">
      <c r="A67" s="10">
        <v>95445961</v>
      </c>
      <c r="B67" s="11" t="s">
        <v>145</v>
      </c>
      <c r="C67" s="10" t="s">
        <v>146</v>
      </c>
      <c r="D67" s="11" t="s">
        <v>18</v>
      </c>
      <c r="E67" s="10" t="s">
        <v>205</v>
      </c>
      <c r="F67" s="12">
        <v>37384</v>
      </c>
      <c r="G67" s="10">
        <f t="shared" ca="1" si="8"/>
        <v>23</v>
      </c>
      <c r="H67" s="10" t="str">
        <f t="shared" ca="1" si="9"/>
        <v>19-23</v>
      </c>
      <c r="I67" s="10"/>
      <c r="J67" s="13">
        <v>45926</v>
      </c>
      <c r="K67" s="10">
        <v>771.42</v>
      </c>
      <c r="L67" s="14">
        <f t="shared" si="13"/>
        <v>154.28399999999999</v>
      </c>
    </row>
    <row r="68" spans="1:12" ht="15" x14ac:dyDescent="0.25">
      <c r="A68" s="10">
        <v>95445994</v>
      </c>
      <c r="B68" s="11" t="s">
        <v>147</v>
      </c>
      <c r="C68" s="10" t="s">
        <v>148</v>
      </c>
      <c r="D68" s="11" t="s">
        <v>18</v>
      </c>
      <c r="E68" s="10" t="s">
        <v>205</v>
      </c>
      <c r="F68" s="12">
        <v>35451</v>
      </c>
      <c r="G68" s="10">
        <f t="shared" ca="1" si="8"/>
        <v>28</v>
      </c>
      <c r="H68" s="10" t="str">
        <f t="shared" ca="1" si="9"/>
        <v>24-28</v>
      </c>
      <c r="I68" s="10"/>
      <c r="J68" s="13">
        <v>45926</v>
      </c>
      <c r="K68" s="10">
        <v>941.13</v>
      </c>
      <c r="L68" s="14">
        <f t="shared" si="13"/>
        <v>188.226</v>
      </c>
    </row>
    <row r="69" spans="1:12" ht="15" x14ac:dyDescent="0.25">
      <c r="A69" s="10">
        <v>95445927</v>
      </c>
      <c r="B69" s="11" t="s">
        <v>149</v>
      </c>
      <c r="C69" s="10" t="s">
        <v>150</v>
      </c>
      <c r="D69" s="11" t="s">
        <v>18</v>
      </c>
      <c r="E69" s="10" t="s">
        <v>205</v>
      </c>
      <c r="F69" s="12">
        <v>31868</v>
      </c>
      <c r="G69" s="10">
        <f t="shared" ca="1" si="8"/>
        <v>38</v>
      </c>
      <c r="H69" s="10" t="str">
        <f t="shared" ca="1" si="9"/>
        <v>34-38</v>
      </c>
      <c r="I69" s="10"/>
      <c r="J69" s="13">
        <v>45926</v>
      </c>
      <c r="K69" s="17">
        <v>1185.82</v>
      </c>
      <c r="L69" s="14">
        <f t="shared" si="13"/>
        <v>237.16399999999999</v>
      </c>
    </row>
    <row r="70" spans="1:12" ht="15" x14ac:dyDescent="0.25">
      <c r="A70" s="10">
        <v>95445923</v>
      </c>
      <c r="B70" s="11" t="s">
        <v>151</v>
      </c>
      <c r="C70" s="10" t="s">
        <v>152</v>
      </c>
      <c r="D70" s="11" t="s">
        <v>18</v>
      </c>
      <c r="E70" s="10" t="s">
        <v>205</v>
      </c>
      <c r="F70" s="16">
        <v>36822</v>
      </c>
      <c r="G70" s="10">
        <f t="shared" ca="1" si="8"/>
        <v>25</v>
      </c>
      <c r="H70" s="10" t="str">
        <f t="shared" ca="1" si="9"/>
        <v>24-28</v>
      </c>
      <c r="I70" s="10"/>
      <c r="J70" s="13">
        <v>45926</v>
      </c>
      <c r="K70" s="10">
        <v>941.13</v>
      </c>
      <c r="L70" s="14">
        <f t="shared" si="13"/>
        <v>188.226</v>
      </c>
    </row>
    <row r="71" spans="1:12" ht="15" x14ac:dyDescent="0.25">
      <c r="A71" s="10">
        <v>95445954</v>
      </c>
      <c r="B71" s="11" t="s">
        <v>153</v>
      </c>
      <c r="C71" s="10" t="s">
        <v>154</v>
      </c>
      <c r="D71" s="11" t="s">
        <v>18</v>
      </c>
      <c r="E71" s="10" t="s">
        <v>205</v>
      </c>
      <c r="F71" s="12">
        <v>34901</v>
      </c>
      <c r="G71" s="10">
        <f t="shared" ca="1" si="8"/>
        <v>30</v>
      </c>
      <c r="H71" s="10" t="str">
        <f t="shared" ca="1" si="9"/>
        <v>29-33</v>
      </c>
      <c r="I71" s="10"/>
      <c r="J71" s="13">
        <v>45926</v>
      </c>
      <c r="K71" s="17">
        <v>1129.3499999999999</v>
      </c>
      <c r="L71" s="14">
        <f t="shared" si="13"/>
        <v>225.87</v>
      </c>
    </row>
    <row r="72" spans="1:12" ht="15" x14ac:dyDescent="0.25">
      <c r="A72" s="10">
        <v>95446012</v>
      </c>
      <c r="B72" s="11" t="s">
        <v>155</v>
      </c>
      <c r="C72" s="10" t="s">
        <v>156</v>
      </c>
      <c r="D72" s="11" t="s">
        <v>18</v>
      </c>
      <c r="E72" s="10" t="s">
        <v>205</v>
      </c>
      <c r="F72" s="12">
        <v>36591</v>
      </c>
      <c r="G72" s="10">
        <f t="shared" ca="1" si="8"/>
        <v>25</v>
      </c>
      <c r="H72" s="10" t="str">
        <f t="shared" ca="1" si="9"/>
        <v>24-28</v>
      </c>
      <c r="I72" s="10"/>
      <c r="J72" s="13">
        <v>45926</v>
      </c>
      <c r="K72" s="10">
        <v>941.13</v>
      </c>
      <c r="L72" s="14">
        <f t="shared" si="13"/>
        <v>188.226</v>
      </c>
    </row>
    <row r="73" spans="1:12" ht="15" x14ac:dyDescent="0.25">
      <c r="A73" s="10">
        <v>95549195</v>
      </c>
      <c r="B73" s="11" t="s">
        <v>157</v>
      </c>
      <c r="C73" s="10" t="s">
        <v>158</v>
      </c>
      <c r="D73" s="11" t="s">
        <v>15</v>
      </c>
      <c r="E73" s="10" t="s">
        <v>205</v>
      </c>
      <c r="F73" s="12">
        <v>33106</v>
      </c>
      <c r="G73" s="10">
        <f t="shared" ca="1" si="8"/>
        <v>35</v>
      </c>
      <c r="H73" s="10" t="str">
        <f t="shared" ca="1" si="9"/>
        <v>34-38</v>
      </c>
      <c r="I73" s="10"/>
      <c r="J73" s="13">
        <v>45939</v>
      </c>
      <c r="K73" s="17">
        <v>1033.42</v>
      </c>
      <c r="L73" s="14">
        <f t="shared" si="13"/>
        <v>206.68400000000003</v>
      </c>
    </row>
    <row r="74" spans="1:12" ht="15" x14ac:dyDescent="0.25">
      <c r="A74" s="10">
        <v>95446005</v>
      </c>
      <c r="B74" s="11" t="s">
        <v>159</v>
      </c>
      <c r="C74" s="10" t="s">
        <v>160</v>
      </c>
      <c r="D74" s="11" t="s">
        <v>15</v>
      </c>
      <c r="E74" s="10" t="s">
        <v>205</v>
      </c>
      <c r="F74" s="12">
        <v>36967</v>
      </c>
      <c r="G74" s="10">
        <f t="shared" ca="1" si="8"/>
        <v>24</v>
      </c>
      <c r="H74" s="10" t="str">
        <f t="shared" ca="1" si="9"/>
        <v>24-28</v>
      </c>
      <c r="I74" s="10"/>
      <c r="J74" s="13">
        <v>45926</v>
      </c>
      <c r="K74" s="10">
        <v>820.18</v>
      </c>
      <c r="L74" s="14">
        <f t="shared" si="13"/>
        <v>164.036</v>
      </c>
    </row>
    <row r="75" spans="1:12" ht="15" x14ac:dyDescent="0.25">
      <c r="A75" s="10">
        <v>95445928</v>
      </c>
      <c r="B75" s="11" t="s">
        <v>161</v>
      </c>
      <c r="C75" s="10" t="s">
        <v>162</v>
      </c>
      <c r="D75" s="11" t="s">
        <v>15</v>
      </c>
      <c r="E75" s="10" t="s">
        <v>205</v>
      </c>
      <c r="F75" s="12">
        <v>36041</v>
      </c>
      <c r="G75" s="10">
        <f t="shared" ca="1" si="8"/>
        <v>27</v>
      </c>
      <c r="H75" s="10" t="str">
        <f t="shared" ca="1" si="9"/>
        <v>24-28</v>
      </c>
      <c r="I75" s="10"/>
      <c r="J75" s="13">
        <v>45926</v>
      </c>
      <c r="K75" s="10">
        <v>820.18</v>
      </c>
      <c r="L75" s="14">
        <f t="shared" si="13"/>
        <v>164.036</v>
      </c>
    </row>
    <row r="76" spans="1:12" ht="15" x14ac:dyDescent="0.25">
      <c r="A76" s="10">
        <v>95445986</v>
      </c>
      <c r="B76" s="11" t="s">
        <v>163</v>
      </c>
      <c r="C76" s="10" t="s">
        <v>164</v>
      </c>
      <c r="D76" s="11" t="s">
        <v>18</v>
      </c>
      <c r="E76" s="10" t="s">
        <v>205</v>
      </c>
      <c r="F76" s="12">
        <v>34249</v>
      </c>
      <c r="G76" s="10">
        <f t="shared" ca="1" si="8"/>
        <v>32</v>
      </c>
      <c r="H76" s="10" t="str">
        <f t="shared" ca="1" si="9"/>
        <v>29-33</v>
      </c>
      <c r="I76" s="10"/>
      <c r="J76" s="13">
        <v>45926</v>
      </c>
      <c r="K76" s="17">
        <v>1129.3499999999999</v>
      </c>
      <c r="L76" s="14">
        <f t="shared" si="13"/>
        <v>225.87</v>
      </c>
    </row>
    <row r="77" spans="1:12" ht="15" x14ac:dyDescent="0.25">
      <c r="A77" s="10">
        <v>95445958</v>
      </c>
      <c r="B77" s="11" t="s">
        <v>165</v>
      </c>
      <c r="C77" s="10" t="s">
        <v>166</v>
      </c>
      <c r="D77" s="11" t="s">
        <v>18</v>
      </c>
      <c r="E77" s="10" t="s">
        <v>205</v>
      </c>
      <c r="F77" s="16">
        <v>35398</v>
      </c>
      <c r="G77" s="10">
        <f t="shared" ca="1" si="8"/>
        <v>29</v>
      </c>
      <c r="H77" s="10" t="str">
        <f t="shared" ca="1" si="9"/>
        <v>29-33</v>
      </c>
      <c r="I77" s="10"/>
      <c r="J77" s="13">
        <v>45926</v>
      </c>
      <c r="K77" s="10">
        <v>941.13</v>
      </c>
      <c r="L77" s="14">
        <f t="shared" si="13"/>
        <v>188.226</v>
      </c>
    </row>
    <row r="78" spans="1:12" ht="15" x14ac:dyDescent="0.25">
      <c r="A78" s="10">
        <v>95445974</v>
      </c>
      <c r="B78" s="11" t="s">
        <v>167</v>
      </c>
      <c r="C78" s="10" t="s">
        <v>168</v>
      </c>
      <c r="D78" s="11" t="s">
        <v>15</v>
      </c>
      <c r="E78" s="10" t="s">
        <v>205</v>
      </c>
      <c r="F78" s="16">
        <v>34992</v>
      </c>
      <c r="G78" s="10">
        <f t="shared" ca="1" si="8"/>
        <v>30</v>
      </c>
      <c r="H78" s="10" t="str">
        <f t="shared" ca="1" si="9"/>
        <v>29-33</v>
      </c>
      <c r="I78" s="10"/>
      <c r="J78" s="13">
        <v>45926</v>
      </c>
      <c r="K78" s="10">
        <v>984.21</v>
      </c>
      <c r="L78" s="14">
        <f t="shared" si="13"/>
        <v>196.84200000000001</v>
      </c>
    </row>
    <row r="79" spans="1:12" ht="15" x14ac:dyDescent="0.25">
      <c r="A79" s="10">
        <v>95445992</v>
      </c>
      <c r="B79" s="11" t="s">
        <v>169</v>
      </c>
      <c r="C79" s="10" t="s">
        <v>170</v>
      </c>
      <c r="D79" s="11" t="s">
        <v>15</v>
      </c>
      <c r="E79" s="10" t="s">
        <v>205</v>
      </c>
      <c r="F79" s="12">
        <v>34863</v>
      </c>
      <c r="G79" s="10">
        <f t="shared" ca="1" si="8"/>
        <v>30</v>
      </c>
      <c r="H79" s="10" t="str">
        <f t="shared" ca="1" si="9"/>
        <v>29-33</v>
      </c>
      <c r="I79" s="10"/>
      <c r="J79" s="13">
        <v>45926</v>
      </c>
      <c r="K79" s="10">
        <v>984.21</v>
      </c>
      <c r="L79" s="14">
        <f t="shared" si="13"/>
        <v>196.84200000000001</v>
      </c>
    </row>
    <row r="80" spans="1:12" ht="15" x14ac:dyDescent="0.25">
      <c r="A80" s="10">
        <v>86299414</v>
      </c>
      <c r="B80" s="11" t="s">
        <v>171</v>
      </c>
      <c r="C80" s="10" t="s">
        <v>172</v>
      </c>
      <c r="D80" s="11" t="s">
        <v>15</v>
      </c>
      <c r="E80" s="10" t="s">
        <v>205</v>
      </c>
      <c r="F80" s="12">
        <v>33026</v>
      </c>
      <c r="G80" s="10">
        <f t="shared" ca="1" si="8"/>
        <v>35</v>
      </c>
      <c r="H80" s="10" t="str">
        <f t="shared" ca="1" si="9"/>
        <v>34-38</v>
      </c>
      <c r="I80" s="10"/>
      <c r="J80" s="13">
        <v>45089</v>
      </c>
      <c r="K80" s="17">
        <v>1033.42</v>
      </c>
      <c r="L80" s="14">
        <f t="shared" si="13"/>
        <v>206.68400000000003</v>
      </c>
    </row>
    <row r="81" spans="1:12" ht="15" x14ac:dyDescent="0.25">
      <c r="A81" s="10">
        <v>95445971</v>
      </c>
      <c r="B81" s="11" t="s">
        <v>173</v>
      </c>
      <c r="C81" s="10" t="s">
        <v>174</v>
      </c>
      <c r="D81" s="11" t="s">
        <v>18</v>
      </c>
      <c r="E81" s="10" t="s">
        <v>205</v>
      </c>
      <c r="F81" s="12">
        <v>35100</v>
      </c>
      <c r="G81" s="10">
        <f t="shared" ca="1" si="8"/>
        <v>29</v>
      </c>
      <c r="H81" s="10" t="str">
        <f t="shared" ca="1" si="9"/>
        <v>29-33</v>
      </c>
      <c r="I81" s="10"/>
      <c r="J81" s="13">
        <v>45926</v>
      </c>
      <c r="K81" s="17">
        <v>1129.3499999999999</v>
      </c>
      <c r="L81" s="14">
        <f t="shared" si="13"/>
        <v>225.87</v>
      </c>
    </row>
    <row r="82" spans="1:12" ht="15" x14ac:dyDescent="0.25">
      <c r="A82" s="10">
        <v>95445983</v>
      </c>
      <c r="B82" s="11" t="s">
        <v>175</v>
      </c>
      <c r="C82" s="10" t="s">
        <v>176</v>
      </c>
      <c r="D82" s="11" t="s">
        <v>18</v>
      </c>
      <c r="E82" s="10" t="s">
        <v>205</v>
      </c>
      <c r="F82" s="12">
        <v>34087</v>
      </c>
      <c r="G82" s="10">
        <f t="shared" ca="1" si="8"/>
        <v>32</v>
      </c>
      <c r="H82" s="10" t="str">
        <f t="shared" ca="1" si="9"/>
        <v>29-33</v>
      </c>
      <c r="I82" s="10"/>
      <c r="J82" s="13">
        <v>45926</v>
      </c>
      <c r="K82" s="17">
        <v>1129.3499999999999</v>
      </c>
      <c r="L82" s="14">
        <f t="shared" si="13"/>
        <v>225.87</v>
      </c>
    </row>
    <row r="83" spans="1:12" ht="15" x14ac:dyDescent="0.25">
      <c r="A83" s="10">
        <v>95445996</v>
      </c>
      <c r="B83" s="11" t="s">
        <v>177</v>
      </c>
      <c r="C83" s="10" t="s">
        <v>178</v>
      </c>
      <c r="D83" s="11" t="s">
        <v>18</v>
      </c>
      <c r="E83" s="10" t="s">
        <v>205</v>
      </c>
      <c r="F83" s="12">
        <v>36595</v>
      </c>
      <c r="G83" s="10">
        <f t="shared" ca="1" si="8"/>
        <v>25</v>
      </c>
      <c r="H83" s="10" t="str">
        <f t="shared" ca="1" si="9"/>
        <v>24-28</v>
      </c>
      <c r="I83" s="10"/>
      <c r="J83" s="13">
        <v>45926</v>
      </c>
      <c r="K83" s="10">
        <v>941.13</v>
      </c>
      <c r="L83" s="14">
        <f t="shared" si="13"/>
        <v>188.226</v>
      </c>
    </row>
    <row r="84" spans="1:12" ht="15" x14ac:dyDescent="0.25">
      <c r="A84" s="10">
        <v>95445999</v>
      </c>
      <c r="B84" s="11" t="s">
        <v>179</v>
      </c>
      <c r="C84" s="10" t="s">
        <v>180</v>
      </c>
      <c r="D84" s="11" t="s">
        <v>15</v>
      </c>
      <c r="E84" s="10" t="s">
        <v>205</v>
      </c>
      <c r="F84" s="12">
        <v>33810</v>
      </c>
      <c r="G84" s="10">
        <f t="shared" ca="1" si="8"/>
        <v>33</v>
      </c>
      <c r="H84" s="10" t="str">
        <f t="shared" ca="1" si="9"/>
        <v>29-33</v>
      </c>
      <c r="I84" s="10"/>
      <c r="J84" s="13">
        <v>45926</v>
      </c>
      <c r="K84" s="10">
        <v>984.21</v>
      </c>
      <c r="L84" s="14">
        <f t="shared" si="13"/>
        <v>196.84200000000001</v>
      </c>
    </row>
    <row r="85" spans="1:12" ht="15" x14ac:dyDescent="0.25">
      <c r="A85" s="10">
        <v>95445920</v>
      </c>
      <c r="B85" s="11" t="s">
        <v>181</v>
      </c>
      <c r="C85" s="10" t="s">
        <v>182</v>
      </c>
      <c r="D85" s="11" t="s">
        <v>15</v>
      </c>
      <c r="E85" s="10" t="s">
        <v>205</v>
      </c>
      <c r="F85" s="16">
        <v>34652</v>
      </c>
      <c r="G85" s="10">
        <f t="shared" ca="1" si="8"/>
        <v>31</v>
      </c>
      <c r="H85" s="10" t="str">
        <f t="shared" ca="1" si="9"/>
        <v>29-33</v>
      </c>
      <c r="I85" s="10"/>
      <c r="J85" s="13">
        <v>45926</v>
      </c>
      <c r="K85" s="10">
        <v>984.21</v>
      </c>
      <c r="L85" s="14">
        <f t="shared" si="13"/>
        <v>196.84200000000001</v>
      </c>
    </row>
    <row r="86" spans="1:12" ht="15" x14ac:dyDescent="0.25">
      <c r="A86" s="10">
        <v>95445970</v>
      </c>
      <c r="B86" s="11" t="s">
        <v>183</v>
      </c>
      <c r="C86" s="10" t="s">
        <v>184</v>
      </c>
      <c r="D86" s="11" t="s">
        <v>15</v>
      </c>
      <c r="E86" s="10" t="s">
        <v>205</v>
      </c>
      <c r="F86" s="12">
        <v>34244</v>
      </c>
      <c r="G86" s="10">
        <f t="shared" ca="1" si="8"/>
        <v>32</v>
      </c>
      <c r="H86" s="10" t="str">
        <f t="shared" ca="1" si="9"/>
        <v>29-33</v>
      </c>
      <c r="I86" s="10"/>
      <c r="J86" s="13">
        <v>45926</v>
      </c>
      <c r="K86" s="10">
        <v>984.21</v>
      </c>
      <c r="L86" s="14">
        <f t="shared" si="13"/>
        <v>196.84200000000001</v>
      </c>
    </row>
    <row r="87" spans="1:12" ht="15" x14ac:dyDescent="0.25">
      <c r="A87" s="10">
        <v>95445953</v>
      </c>
      <c r="B87" s="11" t="s">
        <v>185</v>
      </c>
      <c r="C87" s="10" t="s">
        <v>186</v>
      </c>
      <c r="D87" s="11" t="s">
        <v>18</v>
      </c>
      <c r="E87" s="10" t="s">
        <v>205</v>
      </c>
      <c r="F87" s="12">
        <v>32714</v>
      </c>
      <c r="G87" s="10">
        <f t="shared" ca="1" si="8"/>
        <v>36</v>
      </c>
      <c r="H87" s="10" t="str">
        <f t="shared" ca="1" si="9"/>
        <v>34-38</v>
      </c>
      <c r="I87" s="10"/>
      <c r="J87" s="13">
        <v>45926</v>
      </c>
      <c r="K87" s="17">
        <v>1185.82</v>
      </c>
      <c r="L87" s="14">
        <f t="shared" si="13"/>
        <v>237.16399999999999</v>
      </c>
    </row>
    <row r="88" spans="1:12" ht="15" x14ac:dyDescent="0.25">
      <c r="A88" s="10">
        <v>95445929</v>
      </c>
      <c r="B88" s="11" t="s">
        <v>187</v>
      </c>
      <c r="C88" s="10" t="s">
        <v>188</v>
      </c>
      <c r="D88" s="11" t="s">
        <v>15</v>
      </c>
      <c r="E88" s="10" t="s">
        <v>205</v>
      </c>
      <c r="F88" s="12">
        <v>35319</v>
      </c>
      <c r="G88" s="10">
        <f t="shared" ca="1" si="8"/>
        <v>29</v>
      </c>
      <c r="H88" s="10" t="str">
        <f t="shared" ca="1" si="9"/>
        <v>29-33</v>
      </c>
      <c r="I88" s="10"/>
      <c r="J88" s="13">
        <v>45926</v>
      </c>
      <c r="K88" s="10">
        <v>984.21</v>
      </c>
      <c r="L88" s="14">
        <f t="shared" si="13"/>
        <v>196.84200000000001</v>
      </c>
    </row>
    <row r="89" spans="1:12" ht="15" x14ac:dyDescent="0.25">
      <c r="A89" s="10">
        <v>95445933</v>
      </c>
      <c r="B89" s="11" t="s">
        <v>189</v>
      </c>
      <c r="C89" s="10" t="s">
        <v>190</v>
      </c>
      <c r="D89" s="11" t="s">
        <v>18</v>
      </c>
      <c r="E89" s="10" t="s">
        <v>205</v>
      </c>
      <c r="F89" s="16">
        <v>33521</v>
      </c>
      <c r="G89" s="10">
        <f t="shared" ca="1" si="8"/>
        <v>34</v>
      </c>
      <c r="H89" s="10" t="str">
        <f t="shared" ca="1" si="9"/>
        <v>34-38</v>
      </c>
      <c r="I89" s="10"/>
      <c r="J89" s="13">
        <v>45926</v>
      </c>
      <c r="K89" s="17">
        <v>1185.82</v>
      </c>
      <c r="L89" s="14">
        <f t="shared" si="13"/>
        <v>237.16399999999999</v>
      </c>
    </row>
    <row r="90" spans="1:12" ht="15" x14ac:dyDescent="0.25">
      <c r="A90" s="10">
        <v>95445959</v>
      </c>
      <c r="B90" s="11" t="s">
        <v>191</v>
      </c>
      <c r="C90" s="10" t="s">
        <v>192</v>
      </c>
      <c r="D90" s="11" t="s">
        <v>18</v>
      </c>
      <c r="E90" s="10" t="s">
        <v>205</v>
      </c>
      <c r="F90" s="16">
        <v>36159</v>
      </c>
      <c r="G90" s="10">
        <f t="shared" ca="1" si="8"/>
        <v>26</v>
      </c>
      <c r="H90" s="10" t="str">
        <f t="shared" ca="1" si="9"/>
        <v>24-28</v>
      </c>
      <c r="I90" s="10"/>
      <c r="J90" s="13">
        <v>45926</v>
      </c>
      <c r="K90" s="10">
        <v>941.13</v>
      </c>
      <c r="L90" s="14">
        <f t="shared" si="13"/>
        <v>188.226</v>
      </c>
    </row>
    <row r="91" spans="1:12" ht="15" x14ac:dyDescent="0.25">
      <c r="A91" s="10">
        <v>95445949</v>
      </c>
      <c r="B91" s="11" t="s">
        <v>193</v>
      </c>
      <c r="C91" s="10" t="s">
        <v>194</v>
      </c>
      <c r="D91" s="11" t="s">
        <v>15</v>
      </c>
      <c r="E91" s="10" t="s">
        <v>205</v>
      </c>
      <c r="F91" s="12">
        <v>35540</v>
      </c>
      <c r="G91" s="10">
        <f t="shared" ca="1" si="8"/>
        <v>28</v>
      </c>
      <c r="H91" s="10" t="str">
        <f t="shared" ca="1" si="9"/>
        <v>24-28</v>
      </c>
      <c r="I91" s="10"/>
      <c r="J91" s="13">
        <v>45926</v>
      </c>
      <c r="K91" s="10">
        <v>820.18</v>
      </c>
      <c r="L91" s="14">
        <f t="shared" si="13"/>
        <v>164.036</v>
      </c>
    </row>
    <row r="92" spans="1:12" ht="15" x14ac:dyDescent="0.25">
      <c r="A92" s="10">
        <v>95528802</v>
      </c>
      <c r="B92" s="11" t="s">
        <v>195</v>
      </c>
      <c r="C92" s="10" t="s">
        <v>196</v>
      </c>
      <c r="D92" s="11" t="s">
        <v>15</v>
      </c>
      <c r="E92" s="10" t="s">
        <v>206</v>
      </c>
      <c r="F92" s="12">
        <v>30553</v>
      </c>
      <c r="G92" s="10">
        <f t="shared" ca="1" si="8"/>
        <v>42</v>
      </c>
      <c r="H92" s="10" t="str">
        <f t="shared" ca="1" si="9"/>
        <v>39-43</v>
      </c>
      <c r="I92" s="10"/>
      <c r="J92" s="13">
        <v>45937</v>
      </c>
      <c r="K92" s="17">
        <v>1136.76</v>
      </c>
      <c r="L92" s="17">
        <v>1136.76</v>
      </c>
    </row>
    <row r="93" spans="1:12" ht="15" x14ac:dyDescent="0.25">
      <c r="A93" s="10">
        <v>93493642</v>
      </c>
      <c r="B93" s="11" t="s">
        <v>197</v>
      </c>
      <c r="C93" s="10" t="s">
        <v>198</v>
      </c>
      <c r="D93" s="11" t="s">
        <v>18</v>
      </c>
      <c r="E93" s="10" t="s">
        <v>205</v>
      </c>
      <c r="F93" s="12">
        <v>35709</v>
      </c>
      <c r="G93" s="10">
        <f t="shared" ca="1" si="8"/>
        <v>28</v>
      </c>
      <c r="H93" s="10" t="str">
        <f t="shared" ca="1" si="9"/>
        <v>24-28</v>
      </c>
      <c r="I93" s="10"/>
      <c r="J93" s="13">
        <v>45705</v>
      </c>
      <c r="K93" s="10">
        <v>941.13</v>
      </c>
      <c r="L93" s="14">
        <f t="shared" ref="L93:L96" si="14">K93*20%</f>
        <v>188.226</v>
      </c>
    </row>
    <row r="94" spans="1:12" ht="15" x14ac:dyDescent="0.25">
      <c r="A94" s="10">
        <v>95445943</v>
      </c>
      <c r="B94" s="11" t="s">
        <v>199</v>
      </c>
      <c r="C94" s="10" t="s">
        <v>200</v>
      </c>
      <c r="D94" s="11" t="s">
        <v>15</v>
      </c>
      <c r="E94" s="10" t="s">
        <v>205</v>
      </c>
      <c r="F94" s="16">
        <v>29205</v>
      </c>
      <c r="G94" s="10">
        <f t="shared" ca="1" si="8"/>
        <v>46</v>
      </c>
      <c r="H94" s="10" t="str">
        <f t="shared" ca="1" si="9"/>
        <v>44-48</v>
      </c>
      <c r="I94" s="10"/>
      <c r="J94" s="13">
        <v>45926</v>
      </c>
      <c r="K94" s="17">
        <v>1420.95</v>
      </c>
      <c r="L94" s="14">
        <f t="shared" si="14"/>
        <v>284.19</v>
      </c>
    </row>
    <row r="95" spans="1:12" ht="15" x14ac:dyDescent="0.25">
      <c r="A95" s="10">
        <v>95642860</v>
      </c>
      <c r="B95" s="11" t="s">
        <v>201</v>
      </c>
      <c r="C95" s="10" t="s">
        <v>202</v>
      </c>
      <c r="D95" s="11" t="s">
        <v>15</v>
      </c>
      <c r="E95" s="10" t="s">
        <v>205</v>
      </c>
      <c r="F95" s="12">
        <v>32823</v>
      </c>
      <c r="G95" s="10">
        <f t="shared" ca="1" si="8"/>
        <v>36</v>
      </c>
      <c r="H95" s="10" t="str">
        <f t="shared" ca="1" si="9"/>
        <v>34-38</v>
      </c>
      <c r="I95" s="10"/>
      <c r="J95" s="13">
        <v>45952</v>
      </c>
      <c r="K95" s="10">
        <v>1033.42</v>
      </c>
      <c r="L95" s="14">
        <f t="shared" si="14"/>
        <v>206.68400000000003</v>
      </c>
    </row>
    <row r="96" spans="1:12" ht="15" x14ac:dyDescent="0.25">
      <c r="A96" s="10">
        <v>95445957</v>
      </c>
      <c r="B96" s="11" t="s">
        <v>203</v>
      </c>
      <c r="C96" s="10" t="s">
        <v>204</v>
      </c>
      <c r="D96" s="11" t="s">
        <v>15</v>
      </c>
      <c r="E96" s="10" t="s">
        <v>205</v>
      </c>
      <c r="F96" s="12">
        <v>34872</v>
      </c>
      <c r="G96" s="10">
        <f t="shared" ca="1" si="8"/>
        <v>30</v>
      </c>
      <c r="H96" s="10" t="str">
        <f t="shared" ca="1" si="9"/>
        <v>29-33</v>
      </c>
      <c r="I96" s="10"/>
      <c r="J96" s="13">
        <v>45926</v>
      </c>
      <c r="K96" s="10">
        <v>984.21</v>
      </c>
      <c r="L96" s="14">
        <f t="shared" si="14"/>
        <v>196.84200000000001</v>
      </c>
    </row>
    <row r="97" spans="1:12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4"/>
    </row>
    <row r="98" spans="1:12" x14ac:dyDescent="0.2">
      <c r="L98" s="4"/>
    </row>
    <row r="99" spans="1:12" x14ac:dyDescent="0.2">
      <c r="L99" s="4"/>
    </row>
    <row r="100" spans="1:12" x14ac:dyDescent="0.2">
      <c r="L100" s="4"/>
    </row>
    <row r="101" spans="1:12" x14ac:dyDescent="0.2">
      <c r="L101" s="4"/>
    </row>
    <row r="102" spans="1:12" x14ac:dyDescent="0.2">
      <c r="L102" s="4"/>
    </row>
    <row r="103" spans="1:12" x14ac:dyDescent="0.2">
      <c r="L103" s="4"/>
    </row>
    <row r="104" spans="1:12" x14ac:dyDescent="0.2">
      <c r="L104" s="4"/>
    </row>
    <row r="105" spans="1:12" x14ac:dyDescent="0.2">
      <c r="L105" s="4"/>
    </row>
    <row r="106" spans="1:12" x14ac:dyDescent="0.2">
      <c r="L106" s="4"/>
    </row>
    <row r="107" spans="1:12" x14ac:dyDescent="0.2">
      <c r="L107" s="4"/>
    </row>
    <row r="108" spans="1:12" x14ac:dyDescent="0.2">
      <c r="L108" s="4"/>
    </row>
    <row r="109" spans="1:12" x14ac:dyDescent="0.2">
      <c r="L109" s="4"/>
    </row>
    <row r="110" spans="1:12" x14ac:dyDescent="0.2">
      <c r="L110" s="4"/>
    </row>
    <row r="111" spans="1:12" x14ac:dyDescent="0.2">
      <c r="L111" s="4"/>
    </row>
    <row r="112" spans="1:12" x14ac:dyDescent="0.2">
      <c r="L112" s="4"/>
    </row>
    <row r="113" spans="12:12" x14ac:dyDescent="0.2">
      <c r="L113" s="4"/>
    </row>
    <row r="114" spans="12:12" x14ac:dyDescent="0.2">
      <c r="L114" s="4"/>
    </row>
    <row r="115" spans="12:12" x14ac:dyDescent="0.2">
      <c r="L115" s="4"/>
    </row>
    <row r="116" spans="12:12" x14ac:dyDescent="0.2">
      <c r="L116" s="4"/>
    </row>
    <row r="117" spans="12:12" x14ac:dyDescent="0.2">
      <c r="L117" s="4"/>
    </row>
    <row r="118" spans="12:12" x14ac:dyDescent="0.2">
      <c r="L118" s="4"/>
    </row>
    <row r="119" spans="12:12" x14ac:dyDescent="0.2">
      <c r="L119" s="4"/>
    </row>
    <row r="120" spans="12:12" x14ac:dyDescent="0.2">
      <c r="L120" s="4"/>
    </row>
    <row r="121" spans="12:12" x14ac:dyDescent="0.2">
      <c r="L121" s="4"/>
    </row>
    <row r="122" spans="12:12" x14ac:dyDescent="0.2">
      <c r="L122" s="4"/>
    </row>
    <row r="123" spans="12:12" x14ac:dyDescent="0.2">
      <c r="L123" s="4"/>
    </row>
    <row r="124" spans="12:12" x14ac:dyDescent="0.2">
      <c r="L124" s="4"/>
    </row>
    <row r="125" spans="12:12" x14ac:dyDescent="0.2">
      <c r="L125" s="4"/>
    </row>
    <row r="126" spans="12:12" x14ac:dyDescent="0.2">
      <c r="L126" s="4"/>
    </row>
    <row r="127" spans="12:12" x14ac:dyDescent="0.2">
      <c r="L127" s="4"/>
    </row>
    <row r="128" spans="12:12" x14ac:dyDescent="0.2">
      <c r="L128" s="4"/>
    </row>
    <row r="129" spans="12:12" x14ac:dyDescent="0.2">
      <c r="L129" s="4"/>
    </row>
    <row r="130" spans="12:12" x14ac:dyDescent="0.2">
      <c r="L130" s="4"/>
    </row>
    <row r="131" spans="12:12" x14ac:dyDescent="0.2">
      <c r="L131" s="4"/>
    </row>
    <row r="132" spans="12:12" x14ac:dyDescent="0.2">
      <c r="L132" s="4"/>
    </row>
    <row r="133" spans="12:12" x14ac:dyDescent="0.2">
      <c r="L133" s="4"/>
    </row>
    <row r="134" spans="12:12" x14ac:dyDescent="0.2">
      <c r="L134" s="4"/>
    </row>
    <row r="135" spans="12:12" x14ac:dyDescent="0.2">
      <c r="L135" s="4"/>
    </row>
    <row r="136" spans="12:12" x14ac:dyDescent="0.2">
      <c r="L136" s="4"/>
    </row>
    <row r="137" spans="12:12" x14ac:dyDescent="0.2">
      <c r="L137" s="4"/>
    </row>
    <row r="138" spans="12:12" x14ac:dyDescent="0.2">
      <c r="L138" s="4"/>
    </row>
    <row r="139" spans="12:12" x14ac:dyDescent="0.2">
      <c r="L139" s="4"/>
    </row>
    <row r="140" spans="12:12" x14ac:dyDescent="0.2">
      <c r="L140" s="4"/>
    </row>
    <row r="141" spans="12:12" x14ac:dyDescent="0.2">
      <c r="L141" s="4"/>
    </row>
    <row r="142" spans="12:12" x14ac:dyDescent="0.2">
      <c r="L142" s="4"/>
    </row>
    <row r="143" spans="12:12" x14ac:dyDescent="0.2">
      <c r="L143" s="4"/>
    </row>
    <row r="144" spans="12:12" x14ac:dyDescent="0.2">
      <c r="L144" s="4"/>
    </row>
    <row r="145" spans="12:12" x14ac:dyDescent="0.2">
      <c r="L145" s="4"/>
    </row>
    <row r="146" spans="12:12" x14ac:dyDescent="0.2">
      <c r="L146" s="4"/>
    </row>
    <row r="147" spans="12:12" x14ac:dyDescent="0.2">
      <c r="L147" s="4"/>
    </row>
    <row r="148" spans="12:12" x14ac:dyDescent="0.2">
      <c r="L148" s="4"/>
    </row>
    <row r="149" spans="12:12" x14ac:dyDescent="0.2">
      <c r="L149" s="4"/>
    </row>
    <row r="150" spans="12:12" x14ac:dyDescent="0.2">
      <c r="L150" s="4"/>
    </row>
    <row r="151" spans="12:12" x14ac:dyDescent="0.2">
      <c r="L151" s="4"/>
    </row>
    <row r="152" spans="12:12" x14ac:dyDescent="0.2">
      <c r="L152" s="4"/>
    </row>
    <row r="153" spans="12:12" x14ac:dyDescent="0.2">
      <c r="L153" s="4"/>
    </row>
    <row r="154" spans="12:12" x14ac:dyDescent="0.2">
      <c r="L154" s="4"/>
    </row>
    <row r="155" spans="12:12" x14ac:dyDescent="0.2">
      <c r="L155" s="4"/>
    </row>
    <row r="156" spans="12:12" x14ac:dyDescent="0.2">
      <c r="L156" s="4"/>
    </row>
    <row r="157" spans="12:12" x14ac:dyDescent="0.2">
      <c r="L157" s="4"/>
    </row>
    <row r="158" spans="12:12" x14ac:dyDescent="0.2">
      <c r="L158" s="4"/>
    </row>
    <row r="159" spans="12:12" x14ac:dyDescent="0.2">
      <c r="L159" s="4"/>
    </row>
    <row r="160" spans="12:12" x14ac:dyDescent="0.2">
      <c r="L160" s="4"/>
    </row>
    <row r="161" spans="12:12" x14ac:dyDescent="0.2">
      <c r="L161" s="4"/>
    </row>
    <row r="162" spans="12:12" x14ac:dyDescent="0.2">
      <c r="L162" s="4"/>
    </row>
    <row r="163" spans="12:12" x14ac:dyDescent="0.2">
      <c r="L163" s="4"/>
    </row>
    <row r="164" spans="12:12" x14ac:dyDescent="0.2">
      <c r="L164" s="4"/>
    </row>
    <row r="165" spans="12:12" x14ac:dyDescent="0.2">
      <c r="L165" s="4"/>
    </row>
    <row r="166" spans="12:12" x14ac:dyDescent="0.2">
      <c r="L166" s="4"/>
    </row>
    <row r="167" spans="12:12" x14ac:dyDescent="0.2">
      <c r="L167" s="4"/>
    </row>
    <row r="168" spans="12:12" x14ac:dyDescent="0.2">
      <c r="L168" s="4"/>
    </row>
    <row r="169" spans="12:12" x14ac:dyDescent="0.2">
      <c r="L169" s="4"/>
    </row>
    <row r="170" spans="12:12" x14ac:dyDescent="0.2">
      <c r="L170" s="4"/>
    </row>
    <row r="171" spans="12:12" x14ac:dyDescent="0.2">
      <c r="L171" s="4"/>
    </row>
    <row r="172" spans="12:12" x14ac:dyDescent="0.2">
      <c r="L172" s="4"/>
    </row>
    <row r="173" spans="12:12" x14ac:dyDescent="0.2">
      <c r="L173" s="4"/>
    </row>
    <row r="174" spans="12:12" x14ac:dyDescent="0.2">
      <c r="L174" s="4"/>
    </row>
    <row r="175" spans="12:12" x14ac:dyDescent="0.2">
      <c r="L175" s="4"/>
    </row>
    <row r="176" spans="12:12" x14ac:dyDescent="0.2">
      <c r="L176" s="4"/>
    </row>
    <row r="177" spans="12:12" x14ac:dyDescent="0.2">
      <c r="L177" s="4"/>
    </row>
    <row r="178" spans="12:12" x14ac:dyDescent="0.2">
      <c r="L178" s="4"/>
    </row>
    <row r="179" spans="12:12" x14ac:dyDescent="0.2">
      <c r="L179" s="4"/>
    </row>
    <row r="180" spans="12:12" x14ac:dyDescent="0.2">
      <c r="L180" s="4"/>
    </row>
    <row r="181" spans="12:12" x14ac:dyDescent="0.2">
      <c r="L181" s="4"/>
    </row>
    <row r="182" spans="12:12" x14ac:dyDescent="0.2">
      <c r="L182" s="4"/>
    </row>
    <row r="183" spans="12:12" x14ac:dyDescent="0.2">
      <c r="L183" s="4"/>
    </row>
    <row r="184" spans="12:12" x14ac:dyDescent="0.2">
      <c r="L184" s="4"/>
    </row>
    <row r="185" spans="12:12" x14ac:dyDescent="0.2">
      <c r="L185" s="4"/>
    </row>
    <row r="186" spans="12:12" x14ac:dyDescent="0.2">
      <c r="L186" s="4"/>
    </row>
    <row r="187" spans="12:12" x14ac:dyDescent="0.2">
      <c r="L187" s="4"/>
    </row>
    <row r="188" spans="12:12" x14ac:dyDescent="0.2">
      <c r="L188" s="4"/>
    </row>
    <row r="189" spans="12:12" x14ac:dyDescent="0.2">
      <c r="L189" s="4"/>
    </row>
    <row r="190" spans="12:12" x14ac:dyDescent="0.2">
      <c r="L190" s="4"/>
    </row>
    <row r="191" spans="12:12" x14ac:dyDescent="0.2">
      <c r="L191" s="4"/>
    </row>
    <row r="192" spans="12:12" x14ac:dyDescent="0.2">
      <c r="L192" s="4"/>
    </row>
    <row r="193" spans="12:12" x14ac:dyDescent="0.2">
      <c r="L193" s="4"/>
    </row>
    <row r="194" spans="12:12" x14ac:dyDescent="0.2">
      <c r="L194" s="4"/>
    </row>
    <row r="195" spans="12:12" x14ac:dyDescent="0.2">
      <c r="L195" s="4"/>
    </row>
    <row r="196" spans="12:12" x14ac:dyDescent="0.2">
      <c r="L196" s="4"/>
    </row>
    <row r="197" spans="12:12" x14ac:dyDescent="0.2">
      <c r="L197" s="4"/>
    </row>
    <row r="198" spans="12:12" x14ac:dyDescent="0.2">
      <c r="L198" s="4"/>
    </row>
    <row r="199" spans="12:12" x14ac:dyDescent="0.2">
      <c r="L199" s="4"/>
    </row>
    <row r="200" spans="12:12" x14ac:dyDescent="0.2">
      <c r="L200" s="4"/>
    </row>
    <row r="201" spans="12:12" x14ac:dyDescent="0.2">
      <c r="L201" s="4"/>
    </row>
    <row r="202" spans="12:12" x14ac:dyDescent="0.2">
      <c r="L202" s="4"/>
    </row>
    <row r="203" spans="12:12" x14ac:dyDescent="0.2">
      <c r="L203" s="4"/>
    </row>
    <row r="204" spans="12:12" x14ac:dyDescent="0.2">
      <c r="L204" s="4"/>
    </row>
    <row r="205" spans="12:12" x14ac:dyDescent="0.2">
      <c r="L205" s="4"/>
    </row>
    <row r="206" spans="12:12" x14ac:dyDescent="0.2">
      <c r="L206" s="4"/>
    </row>
    <row r="207" spans="12:12" x14ac:dyDescent="0.2">
      <c r="L207" s="4"/>
    </row>
    <row r="208" spans="12:12" x14ac:dyDescent="0.2">
      <c r="L208" s="4"/>
    </row>
    <row r="209" spans="12:12" x14ac:dyDescent="0.2">
      <c r="L209" s="4"/>
    </row>
    <row r="210" spans="12:12" x14ac:dyDescent="0.2">
      <c r="L210" s="4"/>
    </row>
    <row r="211" spans="12:12" x14ac:dyDescent="0.2">
      <c r="L211" s="4"/>
    </row>
    <row r="212" spans="12:12" x14ac:dyDescent="0.2">
      <c r="L212" s="4"/>
    </row>
    <row r="213" spans="12:12" x14ac:dyDescent="0.2">
      <c r="L213" s="4"/>
    </row>
    <row r="214" spans="12:12" x14ac:dyDescent="0.2">
      <c r="L214" s="4"/>
    </row>
    <row r="215" spans="12:12" x14ac:dyDescent="0.2">
      <c r="L215" s="4"/>
    </row>
    <row r="216" spans="12:12" x14ac:dyDescent="0.2">
      <c r="L216" s="4"/>
    </row>
    <row r="217" spans="12:12" x14ac:dyDescent="0.2">
      <c r="L217" s="4"/>
    </row>
    <row r="218" spans="12:12" x14ac:dyDescent="0.2">
      <c r="L218" s="4"/>
    </row>
    <row r="219" spans="12:12" x14ac:dyDescent="0.2">
      <c r="L219" s="4"/>
    </row>
    <row r="220" spans="12:12" x14ac:dyDescent="0.2">
      <c r="L220" s="4"/>
    </row>
    <row r="221" spans="12:12" x14ac:dyDescent="0.2">
      <c r="L221" s="4"/>
    </row>
    <row r="222" spans="12:12" x14ac:dyDescent="0.2">
      <c r="L222" s="4"/>
    </row>
    <row r="223" spans="12:12" x14ac:dyDescent="0.2">
      <c r="L223" s="4"/>
    </row>
    <row r="224" spans="12:12" x14ac:dyDescent="0.2">
      <c r="L224" s="4"/>
    </row>
    <row r="225" spans="12:12" x14ac:dyDescent="0.2">
      <c r="L225" s="4"/>
    </row>
    <row r="226" spans="12:12" x14ac:dyDescent="0.2">
      <c r="L226" s="4"/>
    </row>
    <row r="227" spans="12:12" x14ac:dyDescent="0.2">
      <c r="L227" s="4"/>
    </row>
    <row r="228" spans="12:12" x14ac:dyDescent="0.2">
      <c r="L228" s="4"/>
    </row>
    <row r="229" spans="12:12" x14ac:dyDescent="0.2">
      <c r="L229" s="4"/>
    </row>
    <row r="230" spans="12:12" x14ac:dyDescent="0.2">
      <c r="L230" s="4"/>
    </row>
    <row r="231" spans="12:12" x14ac:dyDescent="0.2">
      <c r="L231" s="4"/>
    </row>
    <row r="232" spans="12:12" x14ac:dyDescent="0.2">
      <c r="L232" s="4"/>
    </row>
    <row r="233" spans="12:12" x14ac:dyDescent="0.2">
      <c r="L233" s="4"/>
    </row>
    <row r="234" spans="12:12" x14ac:dyDescent="0.2">
      <c r="L234" s="4"/>
    </row>
    <row r="235" spans="12:12" x14ac:dyDescent="0.2">
      <c r="L235" s="4"/>
    </row>
    <row r="236" spans="12:12" x14ac:dyDescent="0.2">
      <c r="L236" s="4"/>
    </row>
    <row r="237" spans="12:12" x14ac:dyDescent="0.2">
      <c r="L237" s="4"/>
    </row>
    <row r="238" spans="12:12" x14ac:dyDescent="0.2">
      <c r="L238" s="4"/>
    </row>
    <row r="239" spans="12:12" x14ac:dyDescent="0.2">
      <c r="L239" s="4"/>
    </row>
    <row r="240" spans="12:12" x14ac:dyDescent="0.2">
      <c r="L240" s="4"/>
    </row>
    <row r="241" spans="12:12" x14ac:dyDescent="0.2">
      <c r="L241" s="4"/>
    </row>
    <row r="242" spans="12:12" x14ac:dyDescent="0.2">
      <c r="L242" s="4"/>
    </row>
    <row r="243" spans="12:12" x14ac:dyDescent="0.2">
      <c r="L243" s="4"/>
    </row>
    <row r="244" spans="12:12" x14ac:dyDescent="0.2">
      <c r="L244" s="4"/>
    </row>
    <row r="245" spans="12:12" x14ac:dyDescent="0.2">
      <c r="L245" s="4"/>
    </row>
    <row r="246" spans="12:12" x14ac:dyDescent="0.2">
      <c r="L246" s="4"/>
    </row>
    <row r="247" spans="12:12" x14ac:dyDescent="0.2">
      <c r="L247" s="4"/>
    </row>
    <row r="248" spans="12:12" x14ac:dyDescent="0.2">
      <c r="L248" s="4"/>
    </row>
    <row r="249" spans="12:12" x14ac:dyDescent="0.2">
      <c r="L249" s="4"/>
    </row>
    <row r="250" spans="12:12" x14ac:dyDescent="0.2">
      <c r="L250" s="4"/>
    </row>
    <row r="251" spans="12:12" x14ac:dyDescent="0.2">
      <c r="L251" s="4"/>
    </row>
    <row r="252" spans="12:12" x14ac:dyDescent="0.2">
      <c r="L252" s="4"/>
    </row>
    <row r="253" spans="12:12" x14ac:dyDescent="0.2">
      <c r="L253" s="4"/>
    </row>
    <row r="254" spans="12:12" x14ac:dyDescent="0.2">
      <c r="L254" s="4"/>
    </row>
    <row r="255" spans="12:12" x14ac:dyDescent="0.2">
      <c r="L255" s="4"/>
    </row>
    <row r="256" spans="12:12" x14ac:dyDescent="0.2">
      <c r="L256" s="4"/>
    </row>
    <row r="257" spans="12:12" x14ac:dyDescent="0.2">
      <c r="L257" s="4"/>
    </row>
    <row r="258" spans="12:12" x14ac:dyDescent="0.2">
      <c r="L258" s="4"/>
    </row>
    <row r="259" spans="12:12" x14ac:dyDescent="0.2">
      <c r="L259" s="4"/>
    </row>
    <row r="260" spans="12:12" x14ac:dyDescent="0.2">
      <c r="L260" s="4"/>
    </row>
    <row r="261" spans="12:12" x14ac:dyDescent="0.2">
      <c r="L261" s="4"/>
    </row>
    <row r="262" spans="12:12" x14ac:dyDescent="0.2">
      <c r="L262" s="4"/>
    </row>
    <row r="263" spans="12:12" x14ac:dyDescent="0.2">
      <c r="L263" s="4"/>
    </row>
    <row r="264" spans="12:12" x14ac:dyDescent="0.2">
      <c r="L264" s="4"/>
    </row>
    <row r="265" spans="12:12" x14ac:dyDescent="0.2">
      <c r="L265" s="4"/>
    </row>
    <row r="266" spans="12:12" x14ac:dyDescent="0.2">
      <c r="L266" s="4"/>
    </row>
    <row r="267" spans="12:12" x14ac:dyDescent="0.2">
      <c r="L267" s="4"/>
    </row>
    <row r="268" spans="12:12" x14ac:dyDescent="0.2">
      <c r="L268" s="4"/>
    </row>
    <row r="269" spans="12:12" x14ac:dyDescent="0.2">
      <c r="L269" s="4"/>
    </row>
    <row r="270" spans="12:12" x14ac:dyDescent="0.2">
      <c r="L270" s="4"/>
    </row>
    <row r="271" spans="12:12" x14ac:dyDescent="0.2">
      <c r="L271" s="4"/>
    </row>
    <row r="272" spans="12:12" x14ac:dyDescent="0.2">
      <c r="L272" s="4"/>
    </row>
    <row r="273" spans="12:12" x14ac:dyDescent="0.2">
      <c r="L273" s="4"/>
    </row>
    <row r="274" spans="12:12" x14ac:dyDescent="0.2">
      <c r="L274" s="4"/>
    </row>
    <row r="275" spans="12:12" x14ac:dyDescent="0.2">
      <c r="L275" s="4"/>
    </row>
    <row r="276" spans="12:12" x14ac:dyDescent="0.2">
      <c r="L276" s="4"/>
    </row>
    <row r="277" spans="12:12" x14ac:dyDescent="0.2">
      <c r="L277" s="4"/>
    </row>
    <row r="278" spans="12:12" x14ac:dyDescent="0.2">
      <c r="L278" s="4"/>
    </row>
    <row r="279" spans="12:12" x14ac:dyDescent="0.2">
      <c r="L279" s="4"/>
    </row>
    <row r="280" spans="12:12" x14ac:dyDescent="0.2">
      <c r="L280" s="4"/>
    </row>
    <row r="281" spans="12:12" x14ac:dyDescent="0.2">
      <c r="L281" s="4"/>
    </row>
    <row r="282" spans="12:12" x14ac:dyDescent="0.2">
      <c r="L282" s="4"/>
    </row>
    <row r="283" spans="12:12" x14ac:dyDescent="0.2">
      <c r="L283" s="4"/>
    </row>
    <row r="284" spans="12:12" x14ac:dyDescent="0.2">
      <c r="L284" s="4"/>
    </row>
    <row r="285" spans="12:12" x14ac:dyDescent="0.2">
      <c r="L285" s="4"/>
    </row>
    <row r="286" spans="12:12" x14ac:dyDescent="0.2">
      <c r="L286" s="4"/>
    </row>
    <row r="287" spans="12:12" x14ac:dyDescent="0.2">
      <c r="L287" s="4"/>
    </row>
    <row r="288" spans="12:12" x14ac:dyDescent="0.2">
      <c r="L288" s="4"/>
    </row>
    <row r="289" spans="12:12" x14ac:dyDescent="0.2">
      <c r="L289" s="4"/>
    </row>
    <row r="290" spans="12:12" x14ac:dyDescent="0.2">
      <c r="L290" s="4"/>
    </row>
    <row r="291" spans="12:12" x14ac:dyDescent="0.2">
      <c r="L291" s="4"/>
    </row>
    <row r="292" spans="12:12" x14ac:dyDescent="0.2">
      <c r="L292" s="4"/>
    </row>
    <row r="293" spans="12:12" x14ac:dyDescent="0.2">
      <c r="L293" s="4"/>
    </row>
    <row r="294" spans="12:12" x14ac:dyDescent="0.2">
      <c r="L294" s="4"/>
    </row>
    <row r="295" spans="12:12" x14ac:dyDescent="0.2">
      <c r="L295" s="4"/>
    </row>
    <row r="296" spans="12:12" x14ac:dyDescent="0.2">
      <c r="L296" s="4"/>
    </row>
    <row r="297" spans="12:12" x14ac:dyDescent="0.2">
      <c r="L297" s="4"/>
    </row>
    <row r="298" spans="12:12" x14ac:dyDescent="0.2">
      <c r="L298" s="4"/>
    </row>
    <row r="299" spans="12:12" x14ac:dyDescent="0.2">
      <c r="L299" s="4"/>
    </row>
    <row r="300" spans="12:12" x14ac:dyDescent="0.2">
      <c r="L300" s="4"/>
    </row>
    <row r="301" spans="12:12" x14ac:dyDescent="0.2">
      <c r="L301" s="4"/>
    </row>
    <row r="302" spans="12:12" x14ac:dyDescent="0.2">
      <c r="L302" s="4"/>
    </row>
    <row r="303" spans="12:12" x14ac:dyDescent="0.2">
      <c r="L303" s="4"/>
    </row>
    <row r="304" spans="12:12" x14ac:dyDescent="0.2">
      <c r="L304" s="4"/>
    </row>
    <row r="305" spans="12:12" x14ac:dyDescent="0.2">
      <c r="L305" s="4"/>
    </row>
    <row r="306" spans="12:12" x14ac:dyDescent="0.2">
      <c r="L306" s="4"/>
    </row>
    <row r="307" spans="12:12" x14ac:dyDescent="0.2">
      <c r="L307" s="4"/>
    </row>
    <row r="308" spans="12:12" x14ac:dyDescent="0.2">
      <c r="L308" s="4"/>
    </row>
    <row r="309" spans="12:12" x14ac:dyDescent="0.2">
      <c r="L309" s="4"/>
    </row>
    <row r="310" spans="12:12" x14ac:dyDescent="0.2">
      <c r="L310" s="4"/>
    </row>
    <row r="311" spans="12:12" x14ac:dyDescent="0.2">
      <c r="L311" s="4"/>
    </row>
    <row r="312" spans="12:12" x14ac:dyDescent="0.2">
      <c r="L312" s="4"/>
    </row>
    <row r="313" spans="12:12" x14ac:dyDescent="0.2">
      <c r="L313" s="4"/>
    </row>
    <row r="314" spans="12:12" x14ac:dyDescent="0.2">
      <c r="L314" s="4"/>
    </row>
    <row r="315" spans="12:12" x14ac:dyDescent="0.2">
      <c r="L315" s="4"/>
    </row>
    <row r="316" spans="12:12" x14ac:dyDescent="0.2">
      <c r="L316" s="4"/>
    </row>
    <row r="317" spans="12:12" x14ac:dyDescent="0.2">
      <c r="L317" s="4"/>
    </row>
    <row r="318" spans="12:12" x14ac:dyDescent="0.2">
      <c r="L318" s="4"/>
    </row>
    <row r="319" spans="12:12" x14ac:dyDescent="0.2">
      <c r="L319" s="4"/>
    </row>
    <row r="320" spans="12:12" x14ac:dyDescent="0.2">
      <c r="L320" s="4"/>
    </row>
    <row r="321" spans="12:12" x14ac:dyDescent="0.2">
      <c r="L321" s="4"/>
    </row>
    <row r="322" spans="12:12" x14ac:dyDescent="0.2">
      <c r="L322" s="4"/>
    </row>
    <row r="323" spans="12:12" x14ac:dyDescent="0.2">
      <c r="L323" s="4"/>
    </row>
    <row r="324" spans="12:12" x14ac:dyDescent="0.2">
      <c r="L324" s="4"/>
    </row>
    <row r="325" spans="12:12" x14ac:dyDescent="0.2">
      <c r="L325" s="4"/>
    </row>
    <row r="326" spans="12:12" x14ac:dyDescent="0.2">
      <c r="L326" s="4"/>
    </row>
    <row r="327" spans="12:12" x14ac:dyDescent="0.2">
      <c r="L327" s="4"/>
    </row>
    <row r="328" spans="12:12" x14ac:dyDescent="0.2">
      <c r="L328" s="4"/>
    </row>
    <row r="329" spans="12:12" x14ac:dyDescent="0.2">
      <c r="L329" s="4"/>
    </row>
    <row r="330" spans="12:12" x14ac:dyDescent="0.2">
      <c r="L330" s="4"/>
    </row>
    <row r="331" spans="12:12" x14ac:dyDescent="0.2">
      <c r="L331" s="4"/>
    </row>
    <row r="332" spans="12:12" x14ac:dyDescent="0.2">
      <c r="L332" s="4"/>
    </row>
    <row r="333" spans="12:12" x14ac:dyDescent="0.2">
      <c r="L333" s="4"/>
    </row>
    <row r="334" spans="12:12" x14ac:dyDescent="0.2">
      <c r="L334" s="4"/>
    </row>
    <row r="335" spans="12:12" x14ac:dyDescent="0.2">
      <c r="L335" s="4"/>
    </row>
    <row r="336" spans="12:12" x14ac:dyDescent="0.2">
      <c r="L336" s="4"/>
    </row>
    <row r="337" spans="12:12" x14ac:dyDescent="0.2">
      <c r="L337" s="4"/>
    </row>
    <row r="338" spans="12:12" x14ac:dyDescent="0.2">
      <c r="L338" s="4"/>
    </row>
    <row r="339" spans="12:12" x14ac:dyDescent="0.2">
      <c r="L339" s="4"/>
    </row>
    <row r="340" spans="12:12" x14ac:dyDescent="0.2">
      <c r="L340" s="4"/>
    </row>
    <row r="341" spans="12:12" x14ac:dyDescent="0.2">
      <c r="L341" s="4"/>
    </row>
    <row r="342" spans="12:12" x14ac:dyDescent="0.2">
      <c r="L342" s="4"/>
    </row>
    <row r="343" spans="12:12" x14ac:dyDescent="0.2">
      <c r="L343" s="4"/>
    </row>
    <row r="344" spans="12:12" x14ac:dyDescent="0.2">
      <c r="L344" s="4"/>
    </row>
    <row r="345" spans="12:12" x14ac:dyDescent="0.2">
      <c r="L345" s="4"/>
    </row>
    <row r="346" spans="12:12" x14ac:dyDescent="0.2">
      <c r="L346" s="4"/>
    </row>
    <row r="347" spans="12:12" x14ac:dyDescent="0.2">
      <c r="L347" s="4"/>
    </row>
    <row r="348" spans="12:12" x14ac:dyDescent="0.2">
      <c r="L348" s="4"/>
    </row>
    <row r="349" spans="12:12" x14ac:dyDescent="0.2">
      <c r="L349" s="4"/>
    </row>
    <row r="350" spans="12:12" x14ac:dyDescent="0.2">
      <c r="L350" s="4"/>
    </row>
    <row r="351" spans="12:12" x14ac:dyDescent="0.2">
      <c r="L351" s="4"/>
    </row>
    <row r="352" spans="12:12" x14ac:dyDescent="0.2">
      <c r="L352" s="4"/>
    </row>
    <row r="353" spans="12:12" x14ac:dyDescent="0.2">
      <c r="L353" s="4"/>
    </row>
    <row r="354" spans="12:12" x14ac:dyDescent="0.2">
      <c r="L354" s="4"/>
    </row>
    <row r="355" spans="12:12" x14ac:dyDescent="0.2">
      <c r="L355" s="4"/>
    </row>
    <row r="356" spans="12:12" x14ac:dyDescent="0.2">
      <c r="L356" s="4"/>
    </row>
    <row r="357" spans="12:12" x14ac:dyDescent="0.2">
      <c r="L357" s="4"/>
    </row>
    <row r="358" spans="12:12" x14ac:dyDescent="0.2">
      <c r="L358" s="4"/>
    </row>
    <row r="359" spans="12:12" x14ac:dyDescent="0.2">
      <c r="L359" s="4"/>
    </row>
    <row r="360" spans="12:12" x14ac:dyDescent="0.2">
      <c r="L360" s="4"/>
    </row>
    <row r="361" spans="12:12" x14ac:dyDescent="0.2">
      <c r="L361" s="4"/>
    </row>
    <row r="362" spans="12:12" x14ac:dyDescent="0.2">
      <c r="L362" s="4"/>
    </row>
    <row r="363" spans="12:12" x14ac:dyDescent="0.2">
      <c r="L363" s="4"/>
    </row>
    <row r="364" spans="12:12" x14ac:dyDescent="0.2">
      <c r="L364" s="4"/>
    </row>
    <row r="365" spans="12:12" x14ac:dyDescent="0.2">
      <c r="L365" s="4"/>
    </row>
    <row r="366" spans="12:12" x14ac:dyDescent="0.2">
      <c r="L366" s="4"/>
    </row>
    <row r="367" spans="12:12" x14ac:dyDescent="0.2">
      <c r="L367" s="4"/>
    </row>
    <row r="368" spans="12:12" x14ac:dyDescent="0.2">
      <c r="L368" s="4"/>
    </row>
    <row r="369" spans="12:12" x14ac:dyDescent="0.2">
      <c r="L369" s="4"/>
    </row>
    <row r="370" spans="12:12" x14ac:dyDescent="0.2">
      <c r="L370" s="4"/>
    </row>
    <row r="371" spans="12:12" x14ac:dyDescent="0.2">
      <c r="L371" s="4"/>
    </row>
    <row r="372" spans="12:12" x14ac:dyDescent="0.2">
      <c r="L372" s="4"/>
    </row>
    <row r="373" spans="12:12" x14ac:dyDescent="0.2">
      <c r="L373" s="4"/>
    </row>
    <row r="374" spans="12:12" x14ac:dyDescent="0.2">
      <c r="L374" s="4"/>
    </row>
    <row r="375" spans="12:12" x14ac:dyDescent="0.2">
      <c r="L375" s="4"/>
    </row>
    <row r="376" spans="12:12" x14ac:dyDescent="0.2">
      <c r="L376" s="4"/>
    </row>
    <row r="377" spans="12:12" x14ac:dyDescent="0.2">
      <c r="L377" s="4"/>
    </row>
    <row r="378" spans="12:12" x14ac:dyDescent="0.2">
      <c r="L378" s="4"/>
    </row>
    <row r="379" spans="12:12" x14ac:dyDescent="0.2">
      <c r="L379" s="4"/>
    </row>
    <row r="380" spans="12:12" x14ac:dyDescent="0.2">
      <c r="L380" s="4"/>
    </row>
    <row r="381" spans="12:12" x14ac:dyDescent="0.2">
      <c r="L381" s="4"/>
    </row>
    <row r="382" spans="12:12" x14ac:dyDescent="0.2">
      <c r="L382" s="4"/>
    </row>
    <row r="383" spans="12:12" x14ac:dyDescent="0.2">
      <c r="L383" s="4"/>
    </row>
    <row r="384" spans="12:12" x14ac:dyDescent="0.2">
      <c r="L384" s="4"/>
    </row>
    <row r="385" spans="12:12" x14ac:dyDescent="0.2">
      <c r="L385" s="4"/>
    </row>
    <row r="386" spans="12:12" x14ac:dyDescent="0.2">
      <c r="L386" s="4"/>
    </row>
    <row r="387" spans="12:12" x14ac:dyDescent="0.2">
      <c r="L387" s="4"/>
    </row>
    <row r="388" spans="12:12" x14ac:dyDescent="0.2">
      <c r="L388" s="4"/>
    </row>
    <row r="389" spans="12:12" x14ac:dyDescent="0.2">
      <c r="L389" s="4"/>
    </row>
    <row r="390" spans="12:12" x14ac:dyDescent="0.2">
      <c r="L390" s="4"/>
    </row>
    <row r="391" spans="12:12" x14ac:dyDescent="0.2">
      <c r="L391" s="4"/>
    </row>
    <row r="392" spans="12:12" x14ac:dyDescent="0.2">
      <c r="L392" s="4"/>
    </row>
    <row r="393" spans="12:12" x14ac:dyDescent="0.2">
      <c r="L393" s="4"/>
    </row>
    <row r="394" spans="12:12" x14ac:dyDescent="0.2">
      <c r="L394" s="4"/>
    </row>
    <row r="395" spans="12:12" x14ac:dyDescent="0.2">
      <c r="L395" s="4"/>
    </row>
    <row r="396" spans="12:12" x14ac:dyDescent="0.2">
      <c r="L396" s="4"/>
    </row>
    <row r="397" spans="12:12" x14ac:dyDescent="0.2">
      <c r="L397" s="4"/>
    </row>
    <row r="398" spans="12:12" x14ac:dyDescent="0.2">
      <c r="L398" s="4"/>
    </row>
    <row r="399" spans="12:12" x14ac:dyDescent="0.2">
      <c r="L399" s="4"/>
    </row>
    <row r="400" spans="12:12" x14ac:dyDescent="0.2">
      <c r="L400" s="4"/>
    </row>
    <row r="401" spans="12:12" x14ac:dyDescent="0.2">
      <c r="L401" s="4"/>
    </row>
    <row r="402" spans="12:12" x14ac:dyDescent="0.2">
      <c r="L402" s="4"/>
    </row>
    <row r="403" spans="12:12" x14ac:dyDescent="0.2">
      <c r="L403" s="4"/>
    </row>
    <row r="404" spans="12:12" x14ac:dyDescent="0.2">
      <c r="L404" s="4"/>
    </row>
    <row r="405" spans="12:12" x14ac:dyDescent="0.2">
      <c r="L405" s="4"/>
    </row>
    <row r="406" spans="12:12" x14ac:dyDescent="0.2">
      <c r="L406" s="4"/>
    </row>
    <row r="407" spans="12:12" x14ac:dyDescent="0.2">
      <c r="L407" s="4"/>
    </row>
    <row r="408" spans="12:12" x14ac:dyDescent="0.2">
      <c r="L408" s="4"/>
    </row>
    <row r="409" spans="12:12" x14ac:dyDescent="0.2">
      <c r="L409" s="4"/>
    </row>
    <row r="410" spans="12:12" x14ac:dyDescent="0.2">
      <c r="L410" s="4"/>
    </row>
    <row r="411" spans="12:12" x14ac:dyDescent="0.2">
      <c r="L411" s="4"/>
    </row>
    <row r="412" spans="12:12" x14ac:dyDescent="0.2">
      <c r="L412" s="4"/>
    </row>
    <row r="413" spans="12:12" x14ac:dyDescent="0.2">
      <c r="L413" s="4"/>
    </row>
    <row r="414" spans="12:12" x14ac:dyDescent="0.2">
      <c r="L414" s="4"/>
    </row>
    <row r="415" spans="12:12" x14ac:dyDescent="0.2">
      <c r="L415" s="4"/>
    </row>
    <row r="416" spans="12:12" x14ac:dyDescent="0.2">
      <c r="L416" s="4"/>
    </row>
    <row r="417" spans="12:12" x14ac:dyDescent="0.2">
      <c r="L417" s="4"/>
    </row>
    <row r="418" spans="12:12" x14ac:dyDescent="0.2">
      <c r="L418" s="4"/>
    </row>
    <row r="419" spans="12:12" x14ac:dyDescent="0.2">
      <c r="L419" s="4"/>
    </row>
    <row r="420" spans="12:12" x14ac:dyDescent="0.2">
      <c r="L420" s="4"/>
    </row>
    <row r="421" spans="12:12" x14ac:dyDescent="0.2">
      <c r="L421" s="4"/>
    </row>
    <row r="422" spans="12:12" x14ac:dyDescent="0.2">
      <c r="L422" s="4"/>
    </row>
    <row r="423" spans="12:12" x14ac:dyDescent="0.2">
      <c r="L423" s="4"/>
    </row>
    <row r="424" spans="12:12" x14ac:dyDescent="0.2">
      <c r="L424" s="4"/>
    </row>
    <row r="425" spans="12:12" x14ac:dyDescent="0.2">
      <c r="L425" s="4"/>
    </row>
    <row r="426" spans="12:12" x14ac:dyDescent="0.2">
      <c r="L426" s="4"/>
    </row>
    <row r="427" spans="12:12" x14ac:dyDescent="0.2">
      <c r="L427" s="4"/>
    </row>
    <row r="428" spans="12:12" x14ac:dyDescent="0.2">
      <c r="L428" s="4"/>
    </row>
    <row r="429" spans="12:12" x14ac:dyDescent="0.2">
      <c r="L429" s="4"/>
    </row>
    <row r="430" spans="12:12" x14ac:dyDescent="0.2">
      <c r="L430" s="4"/>
    </row>
    <row r="431" spans="12:12" x14ac:dyDescent="0.2">
      <c r="L431" s="4"/>
    </row>
    <row r="432" spans="12:12" x14ac:dyDescent="0.2">
      <c r="L432" s="4"/>
    </row>
    <row r="433" spans="12:12" x14ac:dyDescent="0.2">
      <c r="L433" s="4"/>
    </row>
    <row r="434" spans="12:12" x14ac:dyDescent="0.2">
      <c r="L434" s="4"/>
    </row>
    <row r="435" spans="12:12" x14ac:dyDescent="0.2">
      <c r="L435" s="4"/>
    </row>
    <row r="436" spans="12:12" x14ac:dyDescent="0.2">
      <c r="L436" s="4"/>
    </row>
    <row r="437" spans="12:12" x14ac:dyDescent="0.2">
      <c r="L437" s="4"/>
    </row>
    <row r="438" spans="12:12" x14ac:dyDescent="0.2">
      <c r="L438" s="4"/>
    </row>
    <row r="439" spans="12:12" x14ac:dyDescent="0.2">
      <c r="L439" s="4"/>
    </row>
    <row r="440" spans="12:12" x14ac:dyDescent="0.2">
      <c r="L440" s="4"/>
    </row>
    <row r="441" spans="12:12" x14ac:dyDescent="0.2">
      <c r="L441" s="4"/>
    </row>
    <row r="442" spans="12:12" x14ac:dyDescent="0.2">
      <c r="L442" s="4"/>
    </row>
    <row r="443" spans="12:12" x14ac:dyDescent="0.2">
      <c r="L443" s="4"/>
    </row>
    <row r="444" spans="12:12" x14ac:dyDescent="0.2">
      <c r="L444" s="4"/>
    </row>
    <row r="445" spans="12:12" x14ac:dyDescent="0.2">
      <c r="L445" s="4"/>
    </row>
    <row r="446" spans="12:12" x14ac:dyDescent="0.2">
      <c r="L446" s="4"/>
    </row>
    <row r="447" spans="12:12" x14ac:dyDescent="0.2">
      <c r="L447" s="4"/>
    </row>
    <row r="448" spans="12:12" x14ac:dyDescent="0.2">
      <c r="L448" s="4"/>
    </row>
    <row r="449" spans="12:12" x14ac:dyDescent="0.2">
      <c r="L449" s="4"/>
    </row>
    <row r="450" spans="12:12" x14ac:dyDescent="0.2">
      <c r="L450" s="4"/>
    </row>
    <row r="451" spans="12:12" x14ac:dyDescent="0.2">
      <c r="L451" s="4"/>
    </row>
    <row r="452" spans="12:12" x14ac:dyDescent="0.2">
      <c r="L452" s="4"/>
    </row>
    <row r="453" spans="12:12" x14ac:dyDescent="0.2">
      <c r="L453" s="4"/>
    </row>
    <row r="454" spans="12:12" x14ac:dyDescent="0.2">
      <c r="L454" s="4"/>
    </row>
    <row r="455" spans="12:12" x14ac:dyDescent="0.2">
      <c r="L455" s="4"/>
    </row>
    <row r="456" spans="12:12" x14ac:dyDescent="0.2">
      <c r="L456" s="4"/>
    </row>
    <row r="457" spans="12:12" x14ac:dyDescent="0.2">
      <c r="L457" s="4"/>
    </row>
    <row r="458" spans="12:12" x14ac:dyDescent="0.2">
      <c r="L458" s="4"/>
    </row>
    <row r="459" spans="12:12" x14ac:dyDescent="0.2">
      <c r="L459" s="4"/>
    </row>
    <row r="460" spans="12:12" x14ac:dyDescent="0.2">
      <c r="L460" s="4"/>
    </row>
    <row r="461" spans="12:12" x14ac:dyDescent="0.2">
      <c r="L461" s="4"/>
    </row>
    <row r="462" spans="12:12" x14ac:dyDescent="0.2">
      <c r="L462" s="4"/>
    </row>
    <row r="463" spans="12:12" x14ac:dyDescent="0.2">
      <c r="L463" s="4"/>
    </row>
    <row r="464" spans="12:12" x14ac:dyDescent="0.2">
      <c r="L464" s="4"/>
    </row>
    <row r="465" spans="12:12" x14ac:dyDescent="0.2">
      <c r="L465" s="4"/>
    </row>
    <row r="466" spans="12:12" x14ac:dyDescent="0.2">
      <c r="L466" s="4"/>
    </row>
    <row r="467" spans="12:12" x14ac:dyDescent="0.2">
      <c r="L467" s="4"/>
    </row>
    <row r="468" spans="12:12" x14ac:dyDescent="0.2">
      <c r="L468" s="4"/>
    </row>
    <row r="469" spans="12:12" x14ac:dyDescent="0.2">
      <c r="L469" s="4"/>
    </row>
    <row r="470" spans="12:12" x14ac:dyDescent="0.2">
      <c r="L470" s="4"/>
    </row>
    <row r="471" spans="12:12" x14ac:dyDescent="0.2">
      <c r="L471" s="4"/>
    </row>
    <row r="472" spans="12:12" x14ac:dyDescent="0.2">
      <c r="L472" s="4"/>
    </row>
    <row r="473" spans="12:12" x14ac:dyDescent="0.2">
      <c r="L473" s="4"/>
    </row>
    <row r="474" spans="12:12" x14ac:dyDescent="0.2">
      <c r="L474" s="4"/>
    </row>
    <row r="475" spans="12:12" x14ac:dyDescent="0.2">
      <c r="L475" s="4"/>
    </row>
    <row r="476" spans="12:12" x14ac:dyDescent="0.2">
      <c r="L476" s="4"/>
    </row>
    <row r="477" spans="12:12" x14ac:dyDescent="0.2">
      <c r="L477" s="4"/>
    </row>
    <row r="478" spans="12:12" x14ac:dyDescent="0.2">
      <c r="L478" s="4"/>
    </row>
    <row r="479" spans="12:12" x14ac:dyDescent="0.2">
      <c r="L479" s="4"/>
    </row>
    <row r="480" spans="12:12" x14ac:dyDescent="0.2">
      <c r="L480" s="4"/>
    </row>
    <row r="481" spans="12:12" x14ac:dyDescent="0.2">
      <c r="L481" s="4"/>
    </row>
    <row r="482" spans="12:12" x14ac:dyDescent="0.2">
      <c r="L482" s="4"/>
    </row>
    <row r="483" spans="12:12" x14ac:dyDescent="0.2">
      <c r="L483" s="4"/>
    </row>
    <row r="484" spans="12:12" x14ac:dyDescent="0.2">
      <c r="L484" s="4"/>
    </row>
    <row r="485" spans="12:12" x14ac:dyDescent="0.2">
      <c r="L485" s="4"/>
    </row>
    <row r="486" spans="12:12" x14ac:dyDescent="0.2">
      <c r="L486" s="4"/>
    </row>
    <row r="487" spans="12:12" x14ac:dyDescent="0.2">
      <c r="L487" s="4"/>
    </row>
    <row r="488" spans="12:12" x14ac:dyDescent="0.2">
      <c r="L488" s="4"/>
    </row>
    <row r="489" spans="12:12" x14ac:dyDescent="0.2">
      <c r="L489" s="4"/>
    </row>
    <row r="490" spans="12:12" x14ac:dyDescent="0.2">
      <c r="L490" s="4"/>
    </row>
    <row r="491" spans="12:12" x14ac:dyDescent="0.2">
      <c r="L491" s="4"/>
    </row>
    <row r="492" spans="12:12" x14ac:dyDescent="0.2">
      <c r="L492" s="4"/>
    </row>
    <row r="493" spans="12:12" x14ac:dyDescent="0.2">
      <c r="L493" s="4"/>
    </row>
    <row r="494" spans="12:12" x14ac:dyDescent="0.2">
      <c r="L494" s="4"/>
    </row>
    <row r="495" spans="12:12" x14ac:dyDescent="0.2">
      <c r="L495" s="4"/>
    </row>
    <row r="496" spans="12:12" x14ac:dyDescent="0.2">
      <c r="L496" s="4"/>
    </row>
    <row r="497" spans="12:12" x14ac:dyDescent="0.2">
      <c r="L497" s="4"/>
    </row>
    <row r="498" spans="12:12" x14ac:dyDescent="0.2">
      <c r="L498" s="4"/>
    </row>
    <row r="499" spans="12:12" x14ac:dyDescent="0.2">
      <c r="L499" s="4"/>
    </row>
    <row r="500" spans="12:12" x14ac:dyDescent="0.2">
      <c r="L500" s="4"/>
    </row>
    <row r="501" spans="12:12" x14ac:dyDescent="0.2">
      <c r="L501" s="4"/>
    </row>
    <row r="502" spans="12:12" x14ac:dyDescent="0.2">
      <c r="L502" s="4"/>
    </row>
    <row r="503" spans="12:12" x14ac:dyDescent="0.2">
      <c r="L503" s="4"/>
    </row>
    <row r="504" spans="12:12" x14ac:dyDescent="0.2">
      <c r="L504" s="4"/>
    </row>
    <row r="505" spans="12:12" x14ac:dyDescent="0.2">
      <c r="L505" s="4"/>
    </row>
    <row r="506" spans="12:12" x14ac:dyDescent="0.2">
      <c r="L506" s="4"/>
    </row>
    <row r="507" spans="12:12" x14ac:dyDescent="0.2">
      <c r="L507" s="4"/>
    </row>
    <row r="508" spans="12:12" x14ac:dyDescent="0.2">
      <c r="L508" s="4"/>
    </row>
    <row r="509" spans="12:12" x14ac:dyDescent="0.2">
      <c r="L509" s="4"/>
    </row>
    <row r="510" spans="12:12" x14ac:dyDescent="0.2">
      <c r="L510" s="4"/>
    </row>
    <row r="511" spans="12:12" x14ac:dyDescent="0.2">
      <c r="L511" s="4"/>
    </row>
    <row r="512" spans="12:12" x14ac:dyDescent="0.2">
      <c r="L512" s="4"/>
    </row>
    <row r="513" spans="12:12" x14ac:dyDescent="0.2">
      <c r="L513" s="4"/>
    </row>
    <row r="514" spans="12:12" x14ac:dyDescent="0.2">
      <c r="L514" s="4"/>
    </row>
    <row r="515" spans="12:12" x14ac:dyDescent="0.2">
      <c r="L515" s="4"/>
    </row>
    <row r="516" spans="12:12" x14ac:dyDescent="0.2">
      <c r="L516" s="4"/>
    </row>
    <row r="517" spans="12:12" x14ac:dyDescent="0.2">
      <c r="L517" s="4"/>
    </row>
    <row r="518" spans="12:12" x14ac:dyDescent="0.2">
      <c r="L518" s="4"/>
    </row>
    <row r="519" spans="12:12" x14ac:dyDescent="0.2">
      <c r="L519" s="4"/>
    </row>
    <row r="520" spans="12:12" x14ac:dyDescent="0.2">
      <c r="L520" s="4"/>
    </row>
    <row r="521" spans="12:12" x14ac:dyDescent="0.2">
      <c r="L521" s="4"/>
    </row>
    <row r="522" spans="12:12" x14ac:dyDescent="0.2">
      <c r="L522" s="4"/>
    </row>
    <row r="523" spans="12:12" x14ac:dyDescent="0.2">
      <c r="L523" s="4"/>
    </row>
    <row r="524" spans="12:12" x14ac:dyDescent="0.2">
      <c r="L524" s="4"/>
    </row>
    <row r="525" spans="12:12" x14ac:dyDescent="0.2">
      <c r="L525" s="4"/>
    </row>
    <row r="526" spans="12:12" x14ac:dyDescent="0.2">
      <c r="L526" s="4"/>
    </row>
    <row r="527" spans="12:12" x14ac:dyDescent="0.2">
      <c r="L527" s="4"/>
    </row>
    <row r="528" spans="12:12" x14ac:dyDescent="0.2">
      <c r="L528" s="4"/>
    </row>
    <row r="529" spans="12:12" x14ac:dyDescent="0.2">
      <c r="L529" s="4"/>
    </row>
    <row r="530" spans="12:12" x14ac:dyDescent="0.2">
      <c r="L530" s="4"/>
    </row>
    <row r="531" spans="12:12" x14ac:dyDescent="0.2">
      <c r="L531" s="4"/>
    </row>
    <row r="532" spans="12:12" x14ac:dyDescent="0.2">
      <c r="L532" s="4"/>
    </row>
    <row r="533" spans="12:12" x14ac:dyDescent="0.2">
      <c r="L533" s="4"/>
    </row>
    <row r="534" spans="12:12" x14ac:dyDescent="0.2">
      <c r="L534" s="4"/>
    </row>
    <row r="535" spans="12:12" x14ac:dyDescent="0.2">
      <c r="L535" s="4"/>
    </row>
    <row r="536" spans="12:12" x14ac:dyDescent="0.2">
      <c r="L536" s="4"/>
    </row>
    <row r="537" spans="12:12" x14ac:dyDescent="0.2">
      <c r="L537" s="4"/>
    </row>
    <row r="538" spans="12:12" x14ac:dyDescent="0.2">
      <c r="L538" s="4"/>
    </row>
    <row r="539" spans="12:12" x14ac:dyDescent="0.2">
      <c r="L539" s="4"/>
    </row>
    <row r="540" spans="12:12" x14ac:dyDescent="0.2">
      <c r="L540" s="4"/>
    </row>
    <row r="541" spans="12:12" x14ac:dyDescent="0.2">
      <c r="L541" s="4"/>
    </row>
    <row r="542" spans="12:12" x14ac:dyDescent="0.2">
      <c r="L542" s="4"/>
    </row>
    <row r="543" spans="12:12" x14ac:dyDescent="0.2">
      <c r="L543" s="4"/>
    </row>
    <row r="544" spans="12:12" x14ac:dyDescent="0.2">
      <c r="L544" s="4"/>
    </row>
    <row r="545" spans="12:12" x14ac:dyDescent="0.2">
      <c r="L545" s="4"/>
    </row>
    <row r="546" spans="12:12" x14ac:dyDescent="0.2">
      <c r="L546" s="4"/>
    </row>
    <row r="547" spans="12:12" x14ac:dyDescent="0.2">
      <c r="L547" s="4"/>
    </row>
    <row r="548" spans="12:12" x14ac:dyDescent="0.2">
      <c r="L548" s="4"/>
    </row>
    <row r="549" spans="12:12" x14ac:dyDescent="0.2">
      <c r="L549" s="4"/>
    </row>
    <row r="550" spans="12:12" x14ac:dyDescent="0.2">
      <c r="L550" s="4"/>
    </row>
    <row r="551" spans="12:12" x14ac:dyDescent="0.2">
      <c r="L551" s="4"/>
    </row>
    <row r="552" spans="12:12" x14ac:dyDescent="0.2">
      <c r="L552" s="4"/>
    </row>
    <row r="553" spans="12:12" x14ac:dyDescent="0.2">
      <c r="L553" s="4"/>
    </row>
    <row r="554" spans="12:12" x14ac:dyDescent="0.2">
      <c r="L554" s="4"/>
    </row>
    <row r="555" spans="12:12" x14ac:dyDescent="0.2">
      <c r="L555" s="4"/>
    </row>
    <row r="556" spans="12:12" x14ac:dyDescent="0.2">
      <c r="L556" s="4"/>
    </row>
    <row r="557" spans="12:12" x14ac:dyDescent="0.2">
      <c r="L557" s="4"/>
    </row>
    <row r="558" spans="12:12" x14ac:dyDescent="0.2">
      <c r="L558" s="4"/>
    </row>
    <row r="559" spans="12:12" x14ac:dyDescent="0.2">
      <c r="L559" s="4"/>
    </row>
    <row r="560" spans="12:12" x14ac:dyDescent="0.2">
      <c r="L560" s="4"/>
    </row>
    <row r="561" spans="12:12" x14ac:dyDescent="0.2">
      <c r="L561" s="4"/>
    </row>
    <row r="562" spans="12:12" x14ac:dyDescent="0.2">
      <c r="L562" s="4"/>
    </row>
    <row r="563" spans="12:12" x14ac:dyDescent="0.2">
      <c r="L563" s="4"/>
    </row>
    <row r="564" spans="12:12" x14ac:dyDescent="0.2">
      <c r="L564" s="4"/>
    </row>
    <row r="565" spans="12:12" x14ac:dyDescent="0.2">
      <c r="L565" s="4"/>
    </row>
    <row r="566" spans="12:12" x14ac:dyDescent="0.2">
      <c r="L566" s="4"/>
    </row>
    <row r="567" spans="12:12" x14ac:dyDescent="0.2">
      <c r="L567" s="4"/>
    </row>
    <row r="568" spans="12:12" x14ac:dyDescent="0.2">
      <c r="L568" s="4"/>
    </row>
    <row r="569" spans="12:12" x14ac:dyDescent="0.2">
      <c r="L569" s="4"/>
    </row>
    <row r="570" spans="12:12" x14ac:dyDescent="0.2">
      <c r="L570" s="4"/>
    </row>
    <row r="571" spans="12:12" x14ac:dyDescent="0.2">
      <c r="L571" s="4"/>
    </row>
    <row r="572" spans="12:12" x14ac:dyDescent="0.2">
      <c r="L572" s="4"/>
    </row>
    <row r="573" spans="12:12" x14ac:dyDescent="0.2">
      <c r="L573" s="4"/>
    </row>
    <row r="574" spans="12:12" x14ac:dyDescent="0.2">
      <c r="L574" s="4"/>
    </row>
    <row r="575" spans="12:12" x14ac:dyDescent="0.2">
      <c r="L575" s="4"/>
    </row>
    <row r="576" spans="12:12" x14ac:dyDescent="0.2">
      <c r="L576" s="4"/>
    </row>
    <row r="577" spans="12:12" x14ac:dyDescent="0.2">
      <c r="L577" s="4"/>
    </row>
    <row r="578" spans="12:12" x14ac:dyDescent="0.2">
      <c r="L578" s="4"/>
    </row>
    <row r="579" spans="12:12" x14ac:dyDescent="0.2">
      <c r="L579" s="4"/>
    </row>
    <row r="580" spans="12:12" x14ac:dyDescent="0.2">
      <c r="L580" s="4"/>
    </row>
    <row r="581" spans="12:12" x14ac:dyDescent="0.2">
      <c r="L581" s="4"/>
    </row>
    <row r="582" spans="12:12" x14ac:dyDescent="0.2">
      <c r="L582" s="4"/>
    </row>
    <row r="583" spans="12:12" x14ac:dyDescent="0.2">
      <c r="L583" s="4"/>
    </row>
    <row r="584" spans="12:12" x14ac:dyDescent="0.2">
      <c r="L584" s="4"/>
    </row>
    <row r="585" spans="12:12" x14ac:dyDescent="0.2">
      <c r="L585" s="4"/>
    </row>
    <row r="586" spans="12:12" x14ac:dyDescent="0.2">
      <c r="L586" s="4"/>
    </row>
    <row r="587" spans="12:12" x14ac:dyDescent="0.2">
      <c r="L587" s="4"/>
    </row>
    <row r="588" spans="12:12" x14ac:dyDescent="0.2">
      <c r="L588" s="4"/>
    </row>
    <row r="589" spans="12:12" x14ac:dyDescent="0.2">
      <c r="L589" s="4"/>
    </row>
    <row r="590" spans="12:12" x14ac:dyDescent="0.2">
      <c r="L590" s="4"/>
    </row>
    <row r="591" spans="12:12" x14ac:dyDescent="0.2">
      <c r="L591" s="4"/>
    </row>
    <row r="592" spans="12:12" x14ac:dyDescent="0.2">
      <c r="L592" s="4"/>
    </row>
    <row r="593" spans="12:12" x14ac:dyDescent="0.2">
      <c r="L593" s="4"/>
    </row>
    <row r="594" spans="12:12" x14ac:dyDescent="0.2">
      <c r="L594" s="4"/>
    </row>
    <row r="595" spans="12:12" x14ac:dyDescent="0.2">
      <c r="L595" s="4"/>
    </row>
    <row r="596" spans="12:12" x14ac:dyDescent="0.2">
      <c r="L596" s="4"/>
    </row>
    <row r="597" spans="12:12" x14ac:dyDescent="0.2">
      <c r="L597" s="4"/>
    </row>
    <row r="598" spans="12:12" x14ac:dyDescent="0.2">
      <c r="L598" s="4"/>
    </row>
    <row r="599" spans="12:12" x14ac:dyDescent="0.2">
      <c r="L599" s="4"/>
    </row>
    <row r="600" spans="12:12" x14ac:dyDescent="0.2">
      <c r="L600" s="4"/>
    </row>
    <row r="601" spans="12:12" x14ac:dyDescent="0.2">
      <c r="L601" s="4"/>
    </row>
    <row r="602" spans="12:12" x14ac:dyDescent="0.2">
      <c r="L602" s="4"/>
    </row>
    <row r="603" spans="12:12" x14ac:dyDescent="0.2">
      <c r="L603" s="4"/>
    </row>
    <row r="604" spans="12:12" x14ac:dyDescent="0.2">
      <c r="L604" s="4"/>
    </row>
    <row r="605" spans="12:12" x14ac:dyDescent="0.2">
      <c r="L605" s="4"/>
    </row>
    <row r="606" spans="12:12" x14ac:dyDescent="0.2">
      <c r="L606" s="4"/>
    </row>
    <row r="607" spans="12:12" x14ac:dyDescent="0.2">
      <c r="L607" s="4"/>
    </row>
    <row r="608" spans="12:12" x14ac:dyDescent="0.2">
      <c r="L608" s="4"/>
    </row>
    <row r="609" spans="12:12" x14ac:dyDescent="0.2">
      <c r="L609" s="4"/>
    </row>
    <row r="610" spans="12:12" x14ac:dyDescent="0.2">
      <c r="L610" s="4"/>
    </row>
    <row r="611" spans="12:12" x14ac:dyDescent="0.2">
      <c r="L611" s="4"/>
    </row>
    <row r="612" spans="12:12" x14ac:dyDescent="0.2">
      <c r="L612" s="4"/>
    </row>
    <row r="613" spans="12:12" x14ac:dyDescent="0.2">
      <c r="L613" s="4"/>
    </row>
    <row r="614" spans="12:12" x14ac:dyDescent="0.2">
      <c r="L614" s="4"/>
    </row>
    <row r="615" spans="12:12" x14ac:dyDescent="0.2">
      <c r="L615" s="4"/>
    </row>
    <row r="616" spans="12:12" x14ac:dyDescent="0.2">
      <c r="L616" s="4"/>
    </row>
    <row r="617" spans="12:12" x14ac:dyDescent="0.2">
      <c r="L617" s="4"/>
    </row>
    <row r="618" spans="12:12" x14ac:dyDescent="0.2">
      <c r="L618" s="4"/>
    </row>
    <row r="619" spans="12:12" x14ac:dyDescent="0.2">
      <c r="L619" s="4"/>
    </row>
    <row r="620" spans="12:12" x14ac:dyDescent="0.2">
      <c r="L620" s="4"/>
    </row>
    <row r="621" spans="12:12" x14ac:dyDescent="0.2">
      <c r="L621" s="4"/>
    </row>
    <row r="622" spans="12:12" x14ac:dyDescent="0.2">
      <c r="L622" s="4"/>
    </row>
    <row r="623" spans="12:12" x14ac:dyDescent="0.2">
      <c r="L623" s="4"/>
    </row>
    <row r="624" spans="12:12" x14ac:dyDescent="0.2">
      <c r="L624" s="4"/>
    </row>
    <row r="625" spans="12:12" x14ac:dyDescent="0.2">
      <c r="L625" s="4"/>
    </row>
    <row r="626" spans="12:12" x14ac:dyDescent="0.2">
      <c r="L626" s="4"/>
    </row>
    <row r="627" spans="12:12" x14ac:dyDescent="0.2">
      <c r="L627" s="4"/>
    </row>
    <row r="628" spans="12:12" x14ac:dyDescent="0.2">
      <c r="L628" s="4"/>
    </row>
    <row r="629" spans="12:12" x14ac:dyDescent="0.2">
      <c r="L629" s="4"/>
    </row>
    <row r="630" spans="12:12" x14ac:dyDescent="0.2">
      <c r="L630" s="4"/>
    </row>
    <row r="631" spans="12:12" x14ac:dyDescent="0.2">
      <c r="L631" s="4"/>
    </row>
    <row r="632" spans="12:12" x14ac:dyDescent="0.2">
      <c r="L632" s="4"/>
    </row>
    <row r="633" spans="12:12" x14ac:dyDescent="0.2">
      <c r="L633" s="4"/>
    </row>
    <row r="634" spans="12:12" x14ac:dyDescent="0.2">
      <c r="L634" s="4"/>
    </row>
    <row r="635" spans="12:12" x14ac:dyDescent="0.2">
      <c r="L635" s="4"/>
    </row>
    <row r="636" spans="12:12" x14ac:dyDescent="0.2">
      <c r="L636" s="4"/>
    </row>
    <row r="637" spans="12:12" x14ac:dyDescent="0.2">
      <c r="L637" s="4"/>
    </row>
    <row r="638" spans="12:12" x14ac:dyDescent="0.2">
      <c r="L638" s="4"/>
    </row>
    <row r="639" spans="12:12" x14ac:dyDescent="0.2">
      <c r="L639" s="4"/>
    </row>
    <row r="640" spans="12:12" x14ac:dyDescent="0.2">
      <c r="L640" s="4"/>
    </row>
    <row r="641" spans="12:12" x14ac:dyDescent="0.2">
      <c r="L641" s="4"/>
    </row>
    <row r="642" spans="12:12" x14ac:dyDescent="0.2">
      <c r="L642" s="4"/>
    </row>
    <row r="643" spans="12:12" x14ac:dyDescent="0.2">
      <c r="L643" s="4"/>
    </row>
    <row r="644" spans="12:12" x14ac:dyDescent="0.2">
      <c r="L644" s="4"/>
    </row>
    <row r="645" spans="12:12" x14ac:dyDescent="0.2">
      <c r="L645" s="4"/>
    </row>
    <row r="646" spans="12:12" x14ac:dyDescent="0.2">
      <c r="L646" s="4"/>
    </row>
    <row r="647" spans="12:12" x14ac:dyDescent="0.2">
      <c r="L647" s="4"/>
    </row>
    <row r="648" spans="12:12" x14ac:dyDescent="0.2">
      <c r="L648" s="4"/>
    </row>
    <row r="649" spans="12:12" x14ac:dyDescent="0.2">
      <c r="L649" s="4"/>
    </row>
    <row r="650" spans="12:12" x14ac:dyDescent="0.2">
      <c r="L650" s="4"/>
    </row>
    <row r="651" spans="12:12" x14ac:dyDescent="0.2">
      <c r="L651" s="4"/>
    </row>
    <row r="652" spans="12:12" x14ac:dyDescent="0.2">
      <c r="L652" s="4"/>
    </row>
    <row r="653" spans="12:12" x14ac:dyDescent="0.2">
      <c r="L653" s="4"/>
    </row>
    <row r="654" spans="12:12" x14ac:dyDescent="0.2">
      <c r="L654" s="4"/>
    </row>
    <row r="655" spans="12:12" x14ac:dyDescent="0.2">
      <c r="L655" s="4"/>
    </row>
    <row r="656" spans="12:12" x14ac:dyDescent="0.2">
      <c r="L656" s="4"/>
    </row>
    <row r="657" spans="12:12" x14ac:dyDescent="0.2">
      <c r="L657" s="4"/>
    </row>
    <row r="658" spans="12:12" x14ac:dyDescent="0.2">
      <c r="L658" s="4"/>
    </row>
    <row r="659" spans="12:12" x14ac:dyDescent="0.2">
      <c r="L659" s="4"/>
    </row>
    <row r="660" spans="12:12" x14ac:dyDescent="0.2">
      <c r="L660" s="4"/>
    </row>
    <row r="661" spans="12:12" x14ac:dyDescent="0.2">
      <c r="L661" s="4"/>
    </row>
    <row r="662" spans="12:12" x14ac:dyDescent="0.2">
      <c r="L662" s="4"/>
    </row>
    <row r="663" spans="12:12" x14ac:dyDescent="0.2">
      <c r="L663" s="4"/>
    </row>
    <row r="664" spans="12:12" x14ac:dyDescent="0.2">
      <c r="L664" s="4"/>
    </row>
    <row r="665" spans="12:12" x14ac:dyDescent="0.2">
      <c r="L665" s="4"/>
    </row>
    <row r="666" spans="12:12" x14ac:dyDescent="0.2">
      <c r="L666" s="4"/>
    </row>
    <row r="667" spans="12:12" x14ac:dyDescent="0.2">
      <c r="L667" s="4"/>
    </row>
    <row r="668" spans="12:12" x14ac:dyDescent="0.2">
      <c r="L668" s="4"/>
    </row>
    <row r="669" spans="12:12" x14ac:dyDescent="0.2">
      <c r="L669" s="4"/>
    </row>
    <row r="670" spans="12:12" x14ac:dyDescent="0.2">
      <c r="L670" s="4"/>
    </row>
    <row r="671" spans="12:12" x14ac:dyDescent="0.2">
      <c r="L671" s="4"/>
    </row>
    <row r="672" spans="12:12" x14ac:dyDescent="0.2">
      <c r="L672" s="4"/>
    </row>
    <row r="673" spans="12:12" x14ac:dyDescent="0.2">
      <c r="L673" s="4"/>
    </row>
    <row r="674" spans="12:12" x14ac:dyDescent="0.2">
      <c r="L674" s="4"/>
    </row>
    <row r="675" spans="12:12" x14ac:dyDescent="0.2">
      <c r="L675" s="4"/>
    </row>
    <row r="676" spans="12:12" x14ac:dyDescent="0.2">
      <c r="L676" s="4"/>
    </row>
    <row r="677" spans="12:12" x14ac:dyDescent="0.2">
      <c r="L677" s="4"/>
    </row>
    <row r="678" spans="12:12" x14ac:dyDescent="0.2">
      <c r="L678" s="4"/>
    </row>
    <row r="679" spans="12:12" x14ac:dyDescent="0.2">
      <c r="L679" s="4"/>
    </row>
    <row r="680" spans="12:12" x14ac:dyDescent="0.2">
      <c r="L680" s="4"/>
    </row>
    <row r="681" spans="12:12" x14ac:dyDescent="0.2">
      <c r="L681" s="4"/>
    </row>
    <row r="682" spans="12:12" x14ac:dyDescent="0.2">
      <c r="L682" s="4"/>
    </row>
    <row r="683" spans="12:12" x14ac:dyDescent="0.2">
      <c r="L683" s="4"/>
    </row>
    <row r="684" spans="12:12" x14ac:dyDescent="0.2">
      <c r="L684" s="4"/>
    </row>
    <row r="685" spans="12:12" x14ac:dyDescent="0.2">
      <c r="L685" s="4"/>
    </row>
    <row r="686" spans="12:12" x14ac:dyDescent="0.2">
      <c r="L686" s="4"/>
    </row>
    <row r="687" spans="12:12" x14ac:dyDescent="0.2">
      <c r="L687" s="4"/>
    </row>
    <row r="688" spans="12:12" x14ac:dyDescent="0.2">
      <c r="L688" s="4"/>
    </row>
    <row r="689" spans="12:12" x14ac:dyDescent="0.2">
      <c r="L689" s="4"/>
    </row>
    <row r="690" spans="12:12" x14ac:dyDescent="0.2">
      <c r="L690" s="4"/>
    </row>
    <row r="691" spans="12:12" x14ac:dyDescent="0.2">
      <c r="L691" s="4"/>
    </row>
    <row r="692" spans="12:12" x14ac:dyDescent="0.2">
      <c r="L692" s="4"/>
    </row>
    <row r="693" spans="12:12" x14ac:dyDescent="0.2">
      <c r="L693" s="4"/>
    </row>
    <row r="694" spans="12:12" x14ac:dyDescent="0.2">
      <c r="L694" s="4"/>
    </row>
    <row r="695" spans="12:12" x14ac:dyDescent="0.2">
      <c r="L695" s="4"/>
    </row>
    <row r="696" spans="12:12" x14ac:dyDescent="0.2">
      <c r="L696" s="4"/>
    </row>
    <row r="697" spans="12:12" x14ac:dyDescent="0.2">
      <c r="L697" s="4"/>
    </row>
    <row r="698" spans="12:12" x14ac:dyDescent="0.2">
      <c r="L698" s="4"/>
    </row>
    <row r="699" spans="12:12" x14ac:dyDescent="0.2">
      <c r="L699" s="4"/>
    </row>
    <row r="700" spans="12:12" x14ac:dyDescent="0.2">
      <c r="L700" s="4"/>
    </row>
    <row r="701" spans="12:12" x14ac:dyDescent="0.2">
      <c r="L701" s="4"/>
    </row>
    <row r="702" spans="12:12" x14ac:dyDescent="0.2">
      <c r="L702" s="4"/>
    </row>
    <row r="703" spans="12:12" x14ac:dyDescent="0.2">
      <c r="L703" s="4"/>
    </row>
    <row r="704" spans="12:12" x14ac:dyDescent="0.2">
      <c r="L704" s="4"/>
    </row>
    <row r="705" spans="12:12" x14ac:dyDescent="0.2">
      <c r="L705" s="4"/>
    </row>
    <row r="706" spans="12:12" x14ac:dyDescent="0.2">
      <c r="L706" s="4"/>
    </row>
    <row r="707" spans="12:12" x14ac:dyDescent="0.2">
      <c r="L707" s="4"/>
    </row>
    <row r="708" spans="12:12" x14ac:dyDescent="0.2">
      <c r="L708" s="4"/>
    </row>
    <row r="709" spans="12:12" x14ac:dyDescent="0.2">
      <c r="L709" s="4"/>
    </row>
    <row r="710" spans="12:12" x14ac:dyDescent="0.2">
      <c r="L710" s="4"/>
    </row>
    <row r="711" spans="12:12" x14ac:dyDescent="0.2">
      <c r="L711" s="4"/>
    </row>
    <row r="712" spans="12:12" x14ac:dyDescent="0.2">
      <c r="L712" s="4"/>
    </row>
    <row r="713" spans="12:12" x14ac:dyDescent="0.2">
      <c r="L713" s="4"/>
    </row>
    <row r="714" spans="12:12" x14ac:dyDescent="0.2">
      <c r="L714" s="4"/>
    </row>
    <row r="715" spans="12:12" x14ac:dyDescent="0.2">
      <c r="L715" s="4"/>
    </row>
    <row r="716" spans="12:12" x14ac:dyDescent="0.2">
      <c r="L716" s="4"/>
    </row>
    <row r="717" spans="12:12" x14ac:dyDescent="0.2">
      <c r="L717" s="4"/>
    </row>
    <row r="718" spans="12:12" x14ac:dyDescent="0.2">
      <c r="L718" s="4"/>
    </row>
    <row r="719" spans="12:12" x14ac:dyDescent="0.2">
      <c r="L719" s="4"/>
    </row>
    <row r="720" spans="12:12" x14ac:dyDescent="0.2">
      <c r="L720" s="4"/>
    </row>
    <row r="721" spans="12:12" x14ac:dyDescent="0.2">
      <c r="L721" s="4"/>
    </row>
    <row r="722" spans="12:12" x14ac:dyDescent="0.2">
      <c r="L722" s="4"/>
    </row>
    <row r="723" spans="12:12" x14ac:dyDescent="0.2">
      <c r="L723" s="4"/>
    </row>
    <row r="724" spans="12:12" x14ac:dyDescent="0.2">
      <c r="L724" s="4"/>
    </row>
    <row r="725" spans="12:12" x14ac:dyDescent="0.2">
      <c r="L725" s="4"/>
    </row>
    <row r="726" spans="12:12" x14ac:dyDescent="0.2">
      <c r="L726" s="4"/>
    </row>
    <row r="727" spans="12:12" x14ac:dyDescent="0.2">
      <c r="L727" s="4"/>
    </row>
    <row r="728" spans="12:12" x14ac:dyDescent="0.2">
      <c r="L728" s="4"/>
    </row>
    <row r="729" spans="12:12" x14ac:dyDescent="0.2">
      <c r="L729" s="4"/>
    </row>
    <row r="730" spans="12:12" x14ac:dyDescent="0.2">
      <c r="L730" s="4"/>
    </row>
    <row r="731" spans="12:12" x14ac:dyDescent="0.2">
      <c r="L731" s="4"/>
    </row>
    <row r="732" spans="12:12" x14ac:dyDescent="0.2">
      <c r="L732" s="4"/>
    </row>
    <row r="733" spans="12:12" x14ac:dyDescent="0.2">
      <c r="L733" s="4"/>
    </row>
    <row r="734" spans="12:12" x14ac:dyDescent="0.2">
      <c r="L734" s="4"/>
    </row>
    <row r="735" spans="12:12" x14ac:dyDescent="0.2">
      <c r="L735" s="4"/>
    </row>
    <row r="736" spans="12:12" x14ac:dyDescent="0.2">
      <c r="L736" s="4"/>
    </row>
    <row r="737" spans="12:12" x14ac:dyDescent="0.2">
      <c r="L737" s="4"/>
    </row>
    <row r="738" spans="12:12" x14ac:dyDescent="0.2">
      <c r="L738" s="4"/>
    </row>
    <row r="739" spans="12:12" x14ac:dyDescent="0.2">
      <c r="L739" s="4"/>
    </row>
    <row r="740" spans="12:12" x14ac:dyDescent="0.2">
      <c r="L740" s="4"/>
    </row>
    <row r="741" spans="12:12" x14ac:dyDescent="0.2">
      <c r="L741" s="4"/>
    </row>
    <row r="742" spans="12:12" x14ac:dyDescent="0.2">
      <c r="L742" s="4"/>
    </row>
    <row r="743" spans="12:12" x14ac:dyDescent="0.2">
      <c r="L743" s="4"/>
    </row>
    <row r="744" spans="12:12" x14ac:dyDescent="0.2">
      <c r="L744" s="4"/>
    </row>
    <row r="745" spans="12:12" x14ac:dyDescent="0.2">
      <c r="L745" s="4"/>
    </row>
    <row r="746" spans="12:12" x14ac:dyDescent="0.2">
      <c r="L746" s="4"/>
    </row>
    <row r="747" spans="12:12" x14ac:dyDescent="0.2">
      <c r="L747" s="4"/>
    </row>
    <row r="748" spans="12:12" x14ac:dyDescent="0.2">
      <c r="L748" s="4"/>
    </row>
    <row r="749" spans="12:12" x14ac:dyDescent="0.2">
      <c r="L749" s="4"/>
    </row>
    <row r="750" spans="12:12" x14ac:dyDescent="0.2">
      <c r="L750" s="4"/>
    </row>
    <row r="751" spans="12:12" x14ac:dyDescent="0.2">
      <c r="L751" s="4"/>
    </row>
    <row r="752" spans="12:12" x14ac:dyDescent="0.2">
      <c r="L752" s="4"/>
    </row>
    <row r="753" spans="12:12" x14ac:dyDescent="0.2">
      <c r="L753" s="4"/>
    </row>
    <row r="754" spans="12:12" x14ac:dyDescent="0.2">
      <c r="L754" s="4"/>
    </row>
    <row r="755" spans="12:12" x14ac:dyDescent="0.2">
      <c r="L755" s="4"/>
    </row>
    <row r="756" spans="12:12" x14ac:dyDescent="0.2">
      <c r="L756" s="4"/>
    </row>
    <row r="757" spans="12:12" x14ac:dyDescent="0.2">
      <c r="L757" s="4"/>
    </row>
    <row r="758" spans="12:12" x14ac:dyDescent="0.2">
      <c r="L758" s="4"/>
    </row>
    <row r="759" spans="12:12" x14ac:dyDescent="0.2">
      <c r="L759" s="4"/>
    </row>
    <row r="760" spans="12:12" x14ac:dyDescent="0.2">
      <c r="L760" s="4"/>
    </row>
    <row r="761" spans="12:12" x14ac:dyDescent="0.2">
      <c r="L761" s="4"/>
    </row>
    <row r="762" spans="12:12" x14ac:dyDescent="0.2">
      <c r="L762" s="4"/>
    </row>
    <row r="763" spans="12:12" x14ac:dyDescent="0.2">
      <c r="L763" s="4"/>
    </row>
    <row r="764" spans="12:12" x14ac:dyDescent="0.2">
      <c r="L764" s="4"/>
    </row>
    <row r="765" spans="12:12" x14ac:dyDescent="0.2">
      <c r="L765" s="4"/>
    </row>
    <row r="766" spans="12:12" x14ac:dyDescent="0.2">
      <c r="L766" s="4"/>
    </row>
    <row r="767" spans="12:12" x14ac:dyDescent="0.2">
      <c r="L767" s="4"/>
    </row>
    <row r="768" spans="12:12" x14ac:dyDescent="0.2">
      <c r="L768" s="4"/>
    </row>
    <row r="769" spans="12:12" x14ac:dyDescent="0.2">
      <c r="L769" s="4"/>
    </row>
    <row r="770" spans="12:12" x14ac:dyDescent="0.2">
      <c r="L770" s="4"/>
    </row>
    <row r="771" spans="12:12" x14ac:dyDescent="0.2">
      <c r="L771" s="4"/>
    </row>
    <row r="772" spans="12:12" x14ac:dyDescent="0.2">
      <c r="L772" s="4"/>
    </row>
    <row r="773" spans="12:12" x14ac:dyDescent="0.2">
      <c r="L773" s="4"/>
    </row>
    <row r="774" spans="12:12" x14ac:dyDescent="0.2">
      <c r="L774" s="4"/>
    </row>
    <row r="775" spans="12:12" x14ac:dyDescent="0.2">
      <c r="L775" s="4"/>
    </row>
    <row r="776" spans="12:12" x14ac:dyDescent="0.2">
      <c r="L776" s="4"/>
    </row>
    <row r="777" spans="12:12" x14ac:dyDescent="0.2">
      <c r="L777" s="4"/>
    </row>
    <row r="778" spans="12:12" x14ac:dyDescent="0.2">
      <c r="L778" s="4"/>
    </row>
    <row r="779" spans="12:12" x14ac:dyDescent="0.2">
      <c r="L779" s="4"/>
    </row>
    <row r="780" spans="12:12" x14ac:dyDescent="0.2">
      <c r="L780" s="4"/>
    </row>
    <row r="781" spans="12:12" x14ac:dyDescent="0.2">
      <c r="L781" s="4"/>
    </row>
    <row r="782" spans="12:12" x14ac:dyDescent="0.2">
      <c r="L782" s="4"/>
    </row>
    <row r="783" spans="12:12" x14ac:dyDescent="0.2">
      <c r="L783" s="4"/>
    </row>
    <row r="784" spans="12:12" x14ac:dyDescent="0.2">
      <c r="L784" s="4"/>
    </row>
    <row r="785" spans="12:12" x14ac:dyDescent="0.2">
      <c r="L785" s="4"/>
    </row>
    <row r="786" spans="12:12" x14ac:dyDescent="0.2">
      <c r="L786" s="4"/>
    </row>
    <row r="787" spans="12:12" x14ac:dyDescent="0.2">
      <c r="L787" s="4"/>
    </row>
    <row r="788" spans="12:12" x14ac:dyDescent="0.2">
      <c r="L788" s="4"/>
    </row>
    <row r="789" spans="12:12" x14ac:dyDescent="0.2">
      <c r="L789" s="4"/>
    </row>
    <row r="790" spans="12:12" x14ac:dyDescent="0.2">
      <c r="L790" s="4"/>
    </row>
    <row r="791" spans="12:12" x14ac:dyDescent="0.2">
      <c r="L791" s="4"/>
    </row>
    <row r="792" spans="12:12" x14ac:dyDescent="0.2">
      <c r="L792" s="4"/>
    </row>
    <row r="793" spans="12:12" x14ac:dyDescent="0.2">
      <c r="L793" s="4"/>
    </row>
    <row r="794" spans="12:12" x14ac:dyDescent="0.2">
      <c r="L794" s="4"/>
    </row>
    <row r="795" spans="12:12" x14ac:dyDescent="0.2">
      <c r="L795" s="4"/>
    </row>
    <row r="796" spans="12:12" x14ac:dyDescent="0.2">
      <c r="L796" s="4"/>
    </row>
    <row r="797" spans="12:12" x14ac:dyDescent="0.2">
      <c r="L797" s="4"/>
    </row>
    <row r="798" spans="12:12" x14ac:dyDescent="0.2">
      <c r="L798" s="4"/>
    </row>
    <row r="799" spans="12:12" x14ac:dyDescent="0.2">
      <c r="L799" s="4"/>
    </row>
    <row r="800" spans="12:12" x14ac:dyDescent="0.2">
      <c r="L800" s="4"/>
    </row>
    <row r="801" spans="12:12" x14ac:dyDescent="0.2">
      <c r="L801" s="4"/>
    </row>
    <row r="802" spans="12:12" x14ac:dyDescent="0.2">
      <c r="L802" s="4"/>
    </row>
    <row r="803" spans="12:12" x14ac:dyDescent="0.2">
      <c r="L803" s="4"/>
    </row>
    <row r="804" spans="12:12" x14ac:dyDescent="0.2">
      <c r="L804" s="4"/>
    </row>
    <row r="805" spans="12:12" x14ac:dyDescent="0.2">
      <c r="L805" s="4"/>
    </row>
    <row r="806" spans="12:12" x14ac:dyDescent="0.2">
      <c r="L806" s="4"/>
    </row>
    <row r="807" spans="12:12" x14ac:dyDescent="0.2">
      <c r="L807" s="4"/>
    </row>
    <row r="808" spans="12:12" x14ac:dyDescent="0.2">
      <c r="L808" s="4"/>
    </row>
    <row r="809" spans="12:12" x14ac:dyDescent="0.2">
      <c r="L809" s="4"/>
    </row>
    <row r="810" spans="12:12" x14ac:dyDescent="0.2">
      <c r="L810" s="4"/>
    </row>
    <row r="811" spans="12:12" x14ac:dyDescent="0.2">
      <c r="L811" s="4"/>
    </row>
    <row r="812" spans="12:12" x14ac:dyDescent="0.2">
      <c r="L812" s="4"/>
    </row>
    <row r="813" spans="12:12" x14ac:dyDescent="0.2">
      <c r="L813" s="4"/>
    </row>
    <row r="814" spans="12:12" x14ac:dyDescent="0.2">
      <c r="L814" s="4"/>
    </row>
    <row r="815" spans="12:12" x14ac:dyDescent="0.2">
      <c r="L815" s="4"/>
    </row>
    <row r="816" spans="12:12" x14ac:dyDescent="0.2">
      <c r="L816" s="4"/>
    </row>
    <row r="817" spans="12:12" x14ac:dyDescent="0.2">
      <c r="L817" s="4"/>
    </row>
    <row r="818" spans="12:12" x14ac:dyDescent="0.2">
      <c r="L818" s="4"/>
    </row>
    <row r="819" spans="12:12" x14ac:dyDescent="0.2">
      <c r="L819" s="4"/>
    </row>
    <row r="820" spans="12:12" x14ac:dyDescent="0.2">
      <c r="L820" s="4"/>
    </row>
    <row r="821" spans="12:12" x14ac:dyDescent="0.2">
      <c r="L821" s="4"/>
    </row>
    <row r="822" spans="12:12" x14ac:dyDescent="0.2">
      <c r="L822" s="4"/>
    </row>
    <row r="823" spans="12:12" x14ac:dyDescent="0.2">
      <c r="L823" s="4"/>
    </row>
    <row r="824" spans="12:12" x14ac:dyDescent="0.2">
      <c r="L824" s="4"/>
    </row>
    <row r="825" spans="12:12" x14ac:dyDescent="0.2">
      <c r="L825" s="4"/>
    </row>
    <row r="826" spans="12:12" x14ac:dyDescent="0.2">
      <c r="L826" s="4"/>
    </row>
    <row r="827" spans="12:12" x14ac:dyDescent="0.2">
      <c r="L827" s="4"/>
    </row>
    <row r="828" spans="12:12" x14ac:dyDescent="0.2">
      <c r="L828" s="4"/>
    </row>
    <row r="829" spans="12:12" x14ac:dyDescent="0.2">
      <c r="L829" s="4"/>
    </row>
    <row r="830" spans="12:12" x14ac:dyDescent="0.2">
      <c r="L830" s="4"/>
    </row>
    <row r="831" spans="12:12" x14ac:dyDescent="0.2">
      <c r="L831" s="4"/>
    </row>
    <row r="832" spans="12:12" x14ac:dyDescent="0.2">
      <c r="L832" s="4"/>
    </row>
    <row r="833" spans="12:12" x14ac:dyDescent="0.2">
      <c r="L833" s="4"/>
    </row>
    <row r="834" spans="12:12" x14ac:dyDescent="0.2">
      <c r="L834" s="4"/>
    </row>
    <row r="835" spans="12:12" x14ac:dyDescent="0.2">
      <c r="L835" s="4"/>
    </row>
    <row r="836" spans="12:12" x14ac:dyDescent="0.2">
      <c r="L836" s="4"/>
    </row>
    <row r="837" spans="12:12" x14ac:dyDescent="0.2">
      <c r="L837" s="4"/>
    </row>
    <row r="838" spans="12:12" x14ac:dyDescent="0.2">
      <c r="L838" s="4"/>
    </row>
    <row r="839" spans="12:12" x14ac:dyDescent="0.2">
      <c r="L839" s="4"/>
    </row>
    <row r="840" spans="12:12" x14ac:dyDescent="0.2">
      <c r="L840" s="4"/>
    </row>
    <row r="841" spans="12:12" x14ac:dyDescent="0.2">
      <c r="L841" s="4"/>
    </row>
    <row r="842" spans="12:12" x14ac:dyDescent="0.2">
      <c r="L842" s="4"/>
    </row>
    <row r="843" spans="12:12" x14ac:dyDescent="0.2">
      <c r="L843" s="4"/>
    </row>
    <row r="844" spans="12:12" x14ac:dyDescent="0.2">
      <c r="L844" s="4"/>
    </row>
    <row r="845" spans="12:12" x14ac:dyDescent="0.2">
      <c r="L845" s="4"/>
    </row>
    <row r="846" spans="12:12" x14ac:dyDescent="0.2">
      <c r="L846" s="4"/>
    </row>
    <row r="847" spans="12:12" x14ac:dyDescent="0.2">
      <c r="L847" s="4"/>
    </row>
    <row r="848" spans="12:12" x14ac:dyDescent="0.2">
      <c r="L848" s="4"/>
    </row>
    <row r="849" spans="12:12" x14ac:dyDescent="0.2">
      <c r="L849" s="4"/>
    </row>
    <row r="850" spans="12:12" x14ac:dyDescent="0.2">
      <c r="L850" s="4"/>
    </row>
    <row r="851" spans="12:12" x14ac:dyDescent="0.2">
      <c r="L851" s="4"/>
    </row>
    <row r="852" spans="12:12" x14ac:dyDescent="0.2">
      <c r="L852" s="4"/>
    </row>
    <row r="853" spans="12:12" x14ac:dyDescent="0.2">
      <c r="L853" s="4"/>
    </row>
    <row r="854" spans="12:12" x14ac:dyDescent="0.2">
      <c r="L854" s="4"/>
    </row>
    <row r="855" spans="12:12" x14ac:dyDescent="0.2">
      <c r="L855" s="4"/>
    </row>
    <row r="856" spans="12:12" x14ac:dyDescent="0.2">
      <c r="L856" s="4"/>
    </row>
    <row r="857" spans="12:12" x14ac:dyDescent="0.2">
      <c r="L857" s="4"/>
    </row>
    <row r="858" spans="12:12" x14ac:dyDescent="0.2">
      <c r="L858" s="4"/>
    </row>
    <row r="859" spans="12:12" x14ac:dyDescent="0.2">
      <c r="L859" s="4"/>
    </row>
    <row r="860" spans="12:12" x14ac:dyDescent="0.2">
      <c r="L860" s="4"/>
    </row>
    <row r="861" spans="12:12" x14ac:dyDescent="0.2">
      <c r="L861" s="4"/>
    </row>
    <row r="862" spans="12:12" x14ac:dyDescent="0.2">
      <c r="L862" s="4"/>
    </row>
    <row r="863" spans="12:12" x14ac:dyDescent="0.2">
      <c r="L863" s="4"/>
    </row>
    <row r="864" spans="12:12" x14ac:dyDescent="0.2">
      <c r="L864" s="4"/>
    </row>
    <row r="865" spans="12:12" x14ac:dyDescent="0.2">
      <c r="L865" s="4"/>
    </row>
    <row r="866" spans="12:12" x14ac:dyDescent="0.2">
      <c r="L866" s="4"/>
    </row>
    <row r="867" spans="12:12" x14ac:dyDescent="0.2">
      <c r="L867" s="4"/>
    </row>
    <row r="868" spans="12:12" x14ac:dyDescent="0.2">
      <c r="L868" s="4"/>
    </row>
    <row r="869" spans="12:12" x14ac:dyDescent="0.2">
      <c r="L869" s="4"/>
    </row>
    <row r="870" spans="12:12" x14ac:dyDescent="0.2">
      <c r="L870" s="4"/>
    </row>
    <row r="871" spans="12:12" x14ac:dyDescent="0.2">
      <c r="L871" s="4"/>
    </row>
    <row r="872" spans="12:12" x14ac:dyDescent="0.2">
      <c r="L872" s="4"/>
    </row>
    <row r="873" spans="12:12" x14ac:dyDescent="0.2">
      <c r="L873" s="4"/>
    </row>
    <row r="874" spans="12:12" x14ac:dyDescent="0.2">
      <c r="L874" s="4"/>
    </row>
    <row r="875" spans="12:12" x14ac:dyDescent="0.2">
      <c r="L875" s="4"/>
    </row>
    <row r="876" spans="12:12" x14ac:dyDescent="0.2">
      <c r="L876" s="4"/>
    </row>
    <row r="877" spans="12:12" x14ac:dyDescent="0.2">
      <c r="L877" s="4"/>
    </row>
    <row r="878" spans="12:12" x14ac:dyDescent="0.2">
      <c r="L878" s="4"/>
    </row>
    <row r="879" spans="12:12" x14ac:dyDescent="0.2">
      <c r="L879" s="4"/>
    </row>
    <row r="880" spans="12:12" x14ac:dyDescent="0.2">
      <c r="L880" s="4"/>
    </row>
    <row r="881" spans="12:12" x14ac:dyDescent="0.2">
      <c r="L881" s="4"/>
    </row>
    <row r="882" spans="12:12" x14ac:dyDescent="0.2">
      <c r="L882" s="4"/>
    </row>
    <row r="883" spans="12:12" x14ac:dyDescent="0.2">
      <c r="L883" s="4"/>
    </row>
    <row r="884" spans="12:12" x14ac:dyDescent="0.2">
      <c r="L884" s="4"/>
    </row>
    <row r="885" spans="12:12" x14ac:dyDescent="0.2">
      <c r="L885" s="4"/>
    </row>
    <row r="886" spans="12:12" x14ac:dyDescent="0.2">
      <c r="L886" s="4"/>
    </row>
    <row r="887" spans="12:12" x14ac:dyDescent="0.2">
      <c r="L887" s="4"/>
    </row>
    <row r="888" spans="12:12" x14ac:dyDescent="0.2">
      <c r="L888" s="4"/>
    </row>
    <row r="889" spans="12:12" x14ac:dyDescent="0.2">
      <c r="L889" s="4"/>
    </row>
    <row r="890" spans="12:12" x14ac:dyDescent="0.2">
      <c r="L890" s="4"/>
    </row>
    <row r="891" spans="12:12" x14ac:dyDescent="0.2">
      <c r="L891" s="4"/>
    </row>
    <row r="892" spans="12:12" x14ac:dyDescent="0.2">
      <c r="L892" s="4"/>
    </row>
    <row r="893" spans="12:12" x14ac:dyDescent="0.2">
      <c r="L893" s="4"/>
    </row>
    <row r="894" spans="12:12" x14ac:dyDescent="0.2">
      <c r="L894" s="4"/>
    </row>
    <row r="895" spans="12:12" x14ac:dyDescent="0.2">
      <c r="L895" s="4"/>
    </row>
    <row r="896" spans="12:12" x14ac:dyDescent="0.2">
      <c r="L896" s="4"/>
    </row>
    <row r="897" spans="12:12" x14ac:dyDescent="0.2">
      <c r="L897" s="4"/>
    </row>
    <row r="898" spans="12:12" x14ac:dyDescent="0.2">
      <c r="L898" s="4"/>
    </row>
    <row r="899" spans="12:12" x14ac:dyDescent="0.2">
      <c r="L899" s="4"/>
    </row>
    <row r="900" spans="12:12" x14ac:dyDescent="0.2">
      <c r="L900" s="4"/>
    </row>
    <row r="901" spans="12:12" x14ac:dyDescent="0.2">
      <c r="L901" s="4"/>
    </row>
    <row r="902" spans="12:12" x14ac:dyDescent="0.2">
      <c r="L902" s="4"/>
    </row>
    <row r="903" spans="12:12" x14ac:dyDescent="0.2">
      <c r="L903" s="4"/>
    </row>
    <row r="904" spans="12:12" x14ac:dyDescent="0.2">
      <c r="L904" s="4"/>
    </row>
    <row r="905" spans="12:12" x14ac:dyDescent="0.2">
      <c r="L905" s="4"/>
    </row>
    <row r="906" spans="12:12" x14ac:dyDescent="0.2">
      <c r="L906" s="4"/>
    </row>
    <row r="907" spans="12:12" x14ac:dyDescent="0.2">
      <c r="L907" s="4"/>
    </row>
    <row r="908" spans="12:12" x14ac:dyDescent="0.2">
      <c r="L908" s="4"/>
    </row>
    <row r="909" spans="12:12" x14ac:dyDescent="0.2">
      <c r="L909" s="4"/>
    </row>
    <row r="910" spans="12:12" x14ac:dyDescent="0.2">
      <c r="L910" s="4"/>
    </row>
    <row r="911" spans="12:12" x14ac:dyDescent="0.2">
      <c r="L911" s="4"/>
    </row>
    <row r="912" spans="12:12" x14ac:dyDescent="0.2">
      <c r="L912" s="4"/>
    </row>
    <row r="913" spans="12:12" x14ac:dyDescent="0.2">
      <c r="L913" s="4"/>
    </row>
    <row r="914" spans="12:12" x14ac:dyDescent="0.2">
      <c r="L914" s="4"/>
    </row>
    <row r="915" spans="12:12" x14ac:dyDescent="0.2">
      <c r="L915" s="4"/>
    </row>
    <row r="916" spans="12:12" x14ac:dyDescent="0.2">
      <c r="L916" s="4"/>
    </row>
    <row r="917" spans="12:12" x14ac:dyDescent="0.2">
      <c r="L917" s="4"/>
    </row>
    <row r="918" spans="12:12" x14ac:dyDescent="0.2">
      <c r="L918" s="4"/>
    </row>
    <row r="919" spans="12:12" x14ac:dyDescent="0.2">
      <c r="L919" s="4"/>
    </row>
    <row r="920" spans="12:12" x14ac:dyDescent="0.2">
      <c r="L920" s="4"/>
    </row>
    <row r="921" spans="12:12" x14ac:dyDescent="0.2">
      <c r="L921" s="4"/>
    </row>
    <row r="922" spans="12:12" x14ac:dyDescent="0.2">
      <c r="L922" s="4"/>
    </row>
    <row r="923" spans="12:12" x14ac:dyDescent="0.2">
      <c r="L923" s="4"/>
    </row>
    <row r="924" spans="12:12" x14ac:dyDescent="0.2">
      <c r="L924" s="4"/>
    </row>
    <row r="925" spans="12:12" x14ac:dyDescent="0.2">
      <c r="L925" s="4"/>
    </row>
    <row r="926" spans="12:12" x14ac:dyDescent="0.2">
      <c r="L926" s="4"/>
    </row>
    <row r="927" spans="12:12" x14ac:dyDescent="0.2">
      <c r="L927" s="4"/>
    </row>
    <row r="928" spans="12:12" x14ac:dyDescent="0.2">
      <c r="L928" s="4"/>
    </row>
    <row r="929" spans="12:12" x14ac:dyDescent="0.2">
      <c r="L929" s="4"/>
    </row>
    <row r="930" spans="12:12" x14ac:dyDescent="0.2">
      <c r="L930" s="4"/>
    </row>
    <row r="931" spans="12:12" x14ac:dyDescent="0.2">
      <c r="L931" s="4"/>
    </row>
    <row r="932" spans="12:12" x14ac:dyDescent="0.2">
      <c r="L932" s="4"/>
    </row>
    <row r="933" spans="12:12" x14ac:dyDescent="0.2">
      <c r="L933" s="4"/>
    </row>
    <row r="934" spans="12:12" x14ac:dyDescent="0.2">
      <c r="L934" s="4"/>
    </row>
    <row r="935" spans="12:12" x14ac:dyDescent="0.2">
      <c r="L935" s="4"/>
    </row>
    <row r="936" spans="12:12" x14ac:dyDescent="0.2">
      <c r="L936" s="4"/>
    </row>
    <row r="937" spans="12:12" x14ac:dyDescent="0.2">
      <c r="L937" s="4"/>
    </row>
    <row r="938" spans="12:12" x14ac:dyDescent="0.2">
      <c r="L938" s="4"/>
    </row>
    <row r="939" spans="12:12" x14ac:dyDescent="0.2">
      <c r="L939" s="4"/>
    </row>
    <row r="940" spans="12:12" x14ac:dyDescent="0.2">
      <c r="L940" s="4"/>
    </row>
    <row r="941" spans="12:12" x14ac:dyDescent="0.2">
      <c r="L941" s="4"/>
    </row>
    <row r="942" spans="12:12" x14ac:dyDescent="0.2">
      <c r="L942" s="4"/>
    </row>
    <row r="943" spans="12:12" x14ac:dyDescent="0.2">
      <c r="L943" s="4"/>
    </row>
    <row r="944" spans="12:12" x14ac:dyDescent="0.2">
      <c r="L944" s="4"/>
    </row>
    <row r="945" spans="12:12" x14ac:dyDescent="0.2">
      <c r="L945" s="4"/>
    </row>
    <row r="946" spans="12:12" x14ac:dyDescent="0.2">
      <c r="L946" s="4"/>
    </row>
    <row r="947" spans="12:12" x14ac:dyDescent="0.2">
      <c r="L947" s="4"/>
    </row>
    <row r="948" spans="12:12" x14ac:dyDescent="0.2">
      <c r="L948" s="4"/>
    </row>
    <row r="949" spans="12:12" x14ac:dyDescent="0.2">
      <c r="L949" s="4"/>
    </row>
    <row r="950" spans="12:12" x14ac:dyDescent="0.2">
      <c r="L950" s="4"/>
    </row>
    <row r="951" spans="12:12" x14ac:dyDescent="0.2">
      <c r="L951" s="4"/>
    </row>
    <row r="952" spans="12:12" x14ac:dyDescent="0.2">
      <c r="L952" s="4"/>
    </row>
    <row r="953" spans="12:12" x14ac:dyDescent="0.2">
      <c r="L953" s="4"/>
    </row>
    <row r="954" spans="12:12" x14ac:dyDescent="0.2">
      <c r="L954" s="4"/>
    </row>
    <row r="955" spans="12:12" x14ac:dyDescent="0.2">
      <c r="L955" s="4"/>
    </row>
    <row r="956" spans="12:12" x14ac:dyDescent="0.2">
      <c r="L956" s="4"/>
    </row>
    <row r="957" spans="12:12" x14ac:dyDescent="0.2">
      <c r="L957" s="4"/>
    </row>
    <row r="958" spans="12:12" x14ac:dyDescent="0.2">
      <c r="L958" s="4"/>
    </row>
    <row r="959" spans="12:12" x14ac:dyDescent="0.2">
      <c r="L959" s="4"/>
    </row>
    <row r="960" spans="12:12" x14ac:dyDescent="0.2">
      <c r="L960" s="4"/>
    </row>
    <row r="961" spans="12:12" x14ac:dyDescent="0.2">
      <c r="L961" s="4"/>
    </row>
    <row r="962" spans="12:12" x14ac:dyDescent="0.2">
      <c r="L962" s="4"/>
    </row>
    <row r="963" spans="12:12" x14ac:dyDescent="0.2">
      <c r="L963" s="4"/>
    </row>
    <row r="964" spans="12:12" x14ac:dyDescent="0.2">
      <c r="L964" s="4"/>
    </row>
    <row r="965" spans="12:12" x14ac:dyDescent="0.2">
      <c r="L965" s="4"/>
    </row>
    <row r="966" spans="12:12" x14ac:dyDescent="0.2">
      <c r="L966" s="4"/>
    </row>
    <row r="967" spans="12:12" x14ac:dyDescent="0.2">
      <c r="L967" s="4"/>
    </row>
    <row r="968" spans="12:12" x14ac:dyDescent="0.2">
      <c r="L968" s="4"/>
    </row>
    <row r="969" spans="12:12" x14ac:dyDescent="0.2">
      <c r="L969" s="4"/>
    </row>
    <row r="970" spans="12:12" x14ac:dyDescent="0.2">
      <c r="L970" s="4"/>
    </row>
    <row r="971" spans="12:12" x14ac:dyDescent="0.2">
      <c r="L971" s="4"/>
    </row>
    <row r="972" spans="12:12" x14ac:dyDescent="0.2">
      <c r="L972" s="4"/>
    </row>
    <row r="973" spans="12:12" x14ac:dyDescent="0.2">
      <c r="L973" s="4"/>
    </row>
    <row r="974" spans="12:12" x14ac:dyDescent="0.2">
      <c r="L974" s="4"/>
    </row>
    <row r="975" spans="12:12" x14ac:dyDescent="0.2">
      <c r="L975" s="4"/>
    </row>
    <row r="976" spans="12:12" x14ac:dyDescent="0.2">
      <c r="L976" s="4"/>
    </row>
    <row r="977" spans="12:12" x14ac:dyDescent="0.2">
      <c r="L977" s="4"/>
    </row>
    <row r="978" spans="12:12" x14ac:dyDescent="0.2">
      <c r="L978" s="4"/>
    </row>
    <row r="979" spans="12:12" x14ac:dyDescent="0.2">
      <c r="L979" s="4"/>
    </row>
    <row r="980" spans="12:12" x14ac:dyDescent="0.2">
      <c r="L980" s="4"/>
    </row>
    <row r="981" spans="12:12" x14ac:dyDescent="0.2">
      <c r="L981" s="4"/>
    </row>
    <row r="982" spans="12:12" x14ac:dyDescent="0.2">
      <c r="L982" s="4"/>
    </row>
    <row r="983" spans="12:12" x14ac:dyDescent="0.2">
      <c r="L983" s="4"/>
    </row>
    <row r="984" spans="12:12" x14ac:dyDescent="0.2">
      <c r="L984" s="4"/>
    </row>
    <row r="985" spans="12:12" x14ac:dyDescent="0.2">
      <c r="L985" s="4"/>
    </row>
    <row r="986" spans="12:12" x14ac:dyDescent="0.2">
      <c r="L986" s="4"/>
    </row>
    <row r="987" spans="12:12" x14ac:dyDescent="0.2">
      <c r="L987" s="4"/>
    </row>
    <row r="988" spans="12:12" x14ac:dyDescent="0.2">
      <c r="L988" s="4"/>
    </row>
    <row r="989" spans="12:12" x14ac:dyDescent="0.2">
      <c r="L989" s="4"/>
    </row>
    <row r="990" spans="12:12" x14ac:dyDescent="0.2">
      <c r="L990" s="4"/>
    </row>
    <row r="991" spans="12:12" x14ac:dyDescent="0.2">
      <c r="L991" s="4"/>
    </row>
    <row r="992" spans="12:12" x14ac:dyDescent="0.2">
      <c r="L992" s="4"/>
    </row>
    <row r="993" spans="12:12" x14ac:dyDescent="0.2">
      <c r="L993" s="4"/>
    </row>
    <row r="994" spans="12:12" x14ac:dyDescent="0.2">
      <c r="L994" s="4"/>
    </row>
    <row r="995" spans="12:12" x14ac:dyDescent="0.2">
      <c r="L995" s="4"/>
    </row>
    <row r="996" spans="12:12" x14ac:dyDescent="0.2">
      <c r="L996" s="4"/>
    </row>
    <row r="997" spans="12:12" x14ac:dyDescent="0.2">
      <c r="L997" s="4"/>
    </row>
    <row r="998" spans="12:12" x14ac:dyDescent="0.2">
      <c r="L998" s="4"/>
    </row>
    <row r="999" spans="12:12" x14ac:dyDescent="0.2">
      <c r="L999" s="4"/>
    </row>
    <row r="1000" spans="12:12" x14ac:dyDescent="0.2">
      <c r="L1000" s="4"/>
    </row>
  </sheetData>
  <mergeCells count="1">
    <mergeCell ref="A1:K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</dc:creator>
  <cp:lastModifiedBy>Paulo Rodrigues</cp:lastModifiedBy>
  <dcterms:created xsi:type="dcterms:W3CDTF">2025-12-24T13:08:46Z</dcterms:created>
  <dcterms:modified xsi:type="dcterms:W3CDTF">2025-12-24T13:10:28Z</dcterms:modified>
</cp:coreProperties>
</file>